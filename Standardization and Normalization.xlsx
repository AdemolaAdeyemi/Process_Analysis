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emid\OneDrive\Desktop\Ademola_Process_Analyst_Assessment\"/>
    </mc:Choice>
  </mc:AlternateContent>
  <xr:revisionPtr revIDLastSave="0" documentId="13_ncr:1_{7F388143-27E7-4F14-8FC1-3A0F000D34F3}" xr6:coauthVersionLast="47" xr6:coauthVersionMax="47" xr10:uidLastSave="{00000000-0000-0000-0000-000000000000}"/>
  <bookViews>
    <workbookView xWindow="-108" yWindow="-108" windowWidth="23256" windowHeight="13176" tabRatio="766" firstSheet="1" activeTab="1" xr2:uid="{00000000-000D-0000-FFFF-FFFF00000000}"/>
  </bookViews>
  <sheets>
    <sheet name="Requests_Raw" sheetId="1" r:id="rId1"/>
    <sheet name="Clean_Requests_Template" sheetId="2" r:id="rId2"/>
    <sheet name="KPI &amp; Pivot" sheetId="9" r:id="rId3"/>
    <sheet name="SLA_Targets" sheetId="3" r:id="rId4"/>
    <sheet name="Status_Map" sheetId="4" r:id="rId5"/>
    <sheet name="Calendar" sheetId="5" r:id="rId6"/>
    <sheet name="Vendors" sheetId="6" r:id="rId7"/>
    <sheet name="Staff" sheetId="7" r:id="rId8"/>
    <sheet name="Pivot table" sheetId="8" r:id="rId9"/>
    <sheet name="Standardized Departments" sheetId="10" r:id="rId10"/>
  </sheets>
  <definedNames>
    <definedName name="_xlcn.WorksheetConnection_Process_Analyst_Assessment_DatasetCopy.xlsxTable11" hidden="1">Clean_Request_Template[]</definedName>
    <definedName name="_xlcn.WorksheetConnection_Process_Analyst_Assessment_DatasetCopy.xlsxTable21" hidden="1">SLA_Targets[]</definedName>
    <definedName name="_xlcn.WorksheetConnection_Process_Analyst_Assessment_DatasetCopy.xlsxTable31" hidden="1">Status_Map[]</definedName>
    <definedName name="_xlcn.WorksheetConnection_Process_Analyst_Assessment_DatasetCopy.xlsxTable41" hidden="1">Calender[]</definedName>
    <definedName name="_xlcn.WorksheetConnection_Process_Analyst_Assessment_DatasetCopy.xlsxTable51" hidden="1">Vendors[]</definedName>
    <definedName name="_xlcn.WorksheetConnection_Process_Analyst_Assessment_DatasetCopy.xlsxTable61" hidden="1">Table6[]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</pivotCaches>
  <extLst>
    <ext xmlns:x15="http://schemas.microsoft.com/office/spreadsheetml/2010/11/main" uri="{FCE2AD5D-F65C-4FA6-A056-5C36A1767C68}">
      <x15:dataModel>
        <x15:modelTables>
          <x15:modelTable id="Table6" name="Table6" connection="WorksheetConnection_Process_Analyst_Assessment_Dataset - Copy.xlsx!Table6"/>
          <x15:modelTable id="Table5" name="Table5" connection="WorksheetConnection_Process_Analyst_Assessment_Dataset - Copy.xlsx!Table5"/>
          <x15:modelTable id="Table4" name="Table4" connection="WorksheetConnection_Process_Analyst_Assessment_Dataset - Copy.xlsx!Table4"/>
          <x15:modelTable id="Table3" name="Table3" connection="WorksheetConnection_Process_Analyst_Assessment_Dataset - Copy.xlsx!Table3"/>
          <x15:modelTable id="Table2" name="Table2" connection="WorksheetConnection_Process_Analyst_Assessment_Dataset - Copy.xlsx!Table2"/>
          <x15:modelTable id="Table1" name="Table1" connection="WorksheetConnection_Process_Analyst_Assessment_Dataset - Copy.xlsx!Table1"/>
        </x15:modelTables>
        <x15:modelRelationships>
          <x15:modelRelationship fromTable="Table1" fromColumn="RequestType" toTable="Table2" toColumn="RequestType"/>
          <x15:modelRelationship fromTable="Table1" fromColumn="VendorID" toTable="Table5" toColumn="VendorID"/>
          <x15:modelRelationship fromTable="Table1" fromColumn="Status" toTable="Table3" toColumn="Status"/>
          <x15:modelRelationship fromTable="Table1" fromColumn="Department" toTable="Table6" toColumn="Department"/>
          <x15:modelRelationship fromTable="Table1" fromColumn="RequestDate" toTable="Table4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9" l="1"/>
  <c r="N7" i="9" a="1"/>
  <c r="N7" i="9" s="1"/>
  <c r="N6" i="9"/>
  <c r="N5" i="9"/>
  <c r="A2" i="10" a="1"/>
  <c r="A2" i="10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B7" i="8"/>
  <c r="K12" i="8"/>
  <c r="E10" i="8"/>
  <c r="H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381DB6-7C1F-4073-884B-E5B85A6A6FB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85EFEB-0325-40BB-B535-F86E9FB266F5}" name="WorksheetConnection_Process_Analyst_Assessment_Dataset - Cop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rocess_Analyst_Assessment_DatasetCopy.xlsxTable11"/>
        </x15:connection>
      </ext>
    </extLst>
  </connection>
  <connection id="3" xr16:uid="{0145A285-5FFA-4AFA-9A40-EF1B60257ECC}" name="WorksheetConnection_Process_Analyst_Assessment_Dataset - Copy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Process_Analyst_Assessment_DatasetCopy.xlsxTable21"/>
        </x15:connection>
      </ext>
    </extLst>
  </connection>
  <connection id="4" xr16:uid="{09D6D4AB-A438-42D8-930C-894EADD3EED6}" name="WorksheetConnection_Process_Analyst_Assessment_Dataset - Copy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Process_Analyst_Assessment_DatasetCopy.xlsxTable31"/>
        </x15:connection>
      </ext>
    </extLst>
  </connection>
  <connection id="5" xr16:uid="{5E40F822-B8D9-4BC9-8619-644BB0E01E0D}" name="WorksheetConnection_Process_Analyst_Assessment_Dataset - Copy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Process_Analyst_Assessment_DatasetCopy.xlsxTable41"/>
        </x15:connection>
      </ext>
    </extLst>
  </connection>
  <connection id="6" xr16:uid="{7FEDA0B9-C705-45D7-B621-A5982819A7B7}" name="WorksheetConnection_Process_Analyst_Assessment_Dataset - Copy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Process_Analyst_Assessment_DatasetCopy.xlsxTable51"/>
        </x15:connection>
      </ext>
    </extLst>
  </connection>
  <connection id="7" xr16:uid="{4BAE763A-CC95-4AE8-A71D-FBC09636D3BF}" name="WorksheetConnection_Process_Analyst_Assessment_Dataset - Copy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Process_Analyst_Assessment_DatasetCopy.xlsxTable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<sst xmlns="http://schemas.openxmlformats.org/spreadsheetml/2006/main" count="4251" uniqueCount="401">
  <si>
    <t>RequestID</t>
  </si>
  <si>
    <t>RequestDate</t>
  </si>
  <si>
    <t>OfficeLocation</t>
  </si>
  <si>
    <t>Department</t>
  </si>
  <si>
    <t>RequestType</t>
  </si>
  <si>
    <t>Category</t>
  </si>
  <si>
    <t>Description</t>
  </si>
  <si>
    <t>RequesterName</t>
  </si>
  <si>
    <t>ApproverName</t>
  </si>
  <si>
    <t>VendorID</t>
  </si>
  <si>
    <t>Amount</t>
  </si>
  <si>
    <t>Currency</t>
  </si>
  <si>
    <t>Priority</t>
  </si>
  <si>
    <t>Status</t>
  </si>
  <si>
    <t>RequiredBy</t>
  </si>
  <si>
    <t>ApprovalDate</t>
  </si>
  <si>
    <t>CompletionDate</t>
  </si>
  <si>
    <t>SLA_Target_Days</t>
  </si>
  <si>
    <t>Actual_Cycle_Days</t>
  </si>
  <si>
    <t>SLA_Met</t>
  </si>
  <si>
    <t>Amount_USD</t>
  </si>
  <si>
    <t>REQ-2026-0001</t>
  </si>
  <si>
    <t>Lagos</t>
  </si>
  <si>
    <t>Operations</t>
  </si>
  <si>
    <t>Procurement</t>
  </si>
  <si>
    <t>Laptop</t>
  </si>
  <si>
    <t>Operational request</t>
  </si>
  <si>
    <t>User 1</t>
  </si>
  <si>
    <t>Manager A</t>
  </si>
  <si>
    <t>V1001</t>
  </si>
  <si>
    <t>5,000</t>
  </si>
  <si>
    <t>USD</t>
  </si>
  <si>
    <t>Medium</t>
  </si>
  <si>
    <t>Completed</t>
  </si>
  <si>
    <t>Yes</t>
  </si>
  <si>
    <t>REQ-2026-0002</t>
  </si>
  <si>
    <t>London</t>
  </si>
  <si>
    <t>Finance</t>
  </si>
  <si>
    <t>Facilities</t>
  </si>
  <si>
    <t>Office Fitout</t>
  </si>
  <si>
    <t>User 2</t>
  </si>
  <si>
    <t>Manager B</t>
  </si>
  <si>
    <t>12000</t>
  </si>
  <si>
    <t>High</t>
  </si>
  <si>
    <t>Pending Approval</t>
  </si>
  <si>
    <t>No</t>
  </si>
  <si>
    <t>REQ-2026-0003</t>
  </si>
  <si>
    <t>Athens</t>
  </si>
  <si>
    <t>IT</t>
  </si>
  <si>
    <t>Travel/Visa</t>
  </si>
  <si>
    <t>Flight Booking</t>
  </si>
  <si>
    <t>User 3</t>
  </si>
  <si>
    <t>Manager C</t>
  </si>
  <si>
    <t>V1003</t>
  </si>
  <si>
    <t>450</t>
  </si>
  <si>
    <t>Low</t>
  </si>
  <si>
    <t>Submitted</t>
  </si>
  <si>
    <t>REQ-2026-0004</t>
  </si>
  <si>
    <t>Singapore</t>
  </si>
  <si>
    <t>HR</t>
  </si>
  <si>
    <t>Access Request</t>
  </si>
  <si>
    <t>SharePoint Access</t>
  </si>
  <si>
    <t>User 4</t>
  </si>
  <si>
    <t>V1002</t>
  </si>
  <si>
    <t>REQ-2026-0005</t>
  </si>
  <si>
    <t>Commercial Ops</t>
  </si>
  <si>
    <t>Reporting</t>
  </si>
  <si>
    <t>Monthly KPI Dashboard</t>
  </si>
  <si>
    <t>User 5</t>
  </si>
  <si>
    <t>8000</t>
  </si>
  <si>
    <t>Approved</t>
  </si>
  <si>
    <t>REQ-2026-0006</t>
  </si>
  <si>
    <t>User 6</t>
  </si>
  <si>
    <t>REQ-2026-0007</t>
  </si>
  <si>
    <t>User 7</t>
  </si>
  <si>
    <t>REQ-2026-0008</t>
  </si>
  <si>
    <t>User 8</t>
  </si>
  <si>
    <t>REQ-2026-0009</t>
  </si>
  <si>
    <t>User 9</t>
  </si>
  <si>
    <t>REQ-2026-0010</t>
  </si>
  <si>
    <t>User 10</t>
  </si>
  <si>
    <t>REQ-2026-0011</t>
  </si>
  <si>
    <t>User 11</t>
  </si>
  <si>
    <t>REQ-2026-0012</t>
  </si>
  <si>
    <t>User 12</t>
  </si>
  <si>
    <t>REQ-2026-0013</t>
  </si>
  <si>
    <t>User 13</t>
  </si>
  <si>
    <t>REQ-2026-0014</t>
  </si>
  <si>
    <t>User 14</t>
  </si>
  <si>
    <t>REQ-2026-0015</t>
  </si>
  <si>
    <t>User 15</t>
  </si>
  <si>
    <t>REQ-2026-0016</t>
  </si>
  <si>
    <t>User 16</t>
  </si>
  <si>
    <t>REQ-2026-0017</t>
  </si>
  <si>
    <t>User 17</t>
  </si>
  <si>
    <t>REQ-2026-0018</t>
  </si>
  <si>
    <t>User 18</t>
  </si>
  <si>
    <t>REQ-2026-0019</t>
  </si>
  <si>
    <t>User 19</t>
  </si>
  <si>
    <t>REQ-2026-0020</t>
  </si>
  <si>
    <t>User 20</t>
  </si>
  <si>
    <t>REQ-2026-0021</t>
  </si>
  <si>
    <t>User 21</t>
  </si>
  <si>
    <t>REQ-2026-0022</t>
  </si>
  <si>
    <t>User 22</t>
  </si>
  <si>
    <t>REQ-2026-0023</t>
  </si>
  <si>
    <t>User 23</t>
  </si>
  <si>
    <t>REQ-2026-0024</t>
  </si>
  <si>
    <t>User 24</t>
  </si>
  <si>
    <t>REQ-2026-0025</t>
  </si>
  <si>
    <t>User 25</t>
  </si>
  <si>
    <t>REQ-2026-0026</t>
  </si>
  <si>
    <t>User 26</t>
  </si>
  <si>
    <t>REQ-2026-0027</t>
  </si>
  <si>
    <t>User 27</t>
  </si>
  <si>
    <t>REQ-2026-0028</t>
  </si>
  <si>
    <t>User 28</t>
  </si>
  <si>
    <t>REQ-2026-0029</t>
  </si>
  <si>
    <t>User 29</t>
  </si>
  <si>
    <t>REQ-2026-0030</t>
  </si>
  <si>
    <t>User 30</t>
  </si>
  <si>
    <t>REQ-2026-0031</t>
  </si>
  <si>
    <t>User 31</t>
  </si>
  <si>
    <t>REQ-2026-0032</t>
  </si>
  <si>
    <t>User 32</t>
  </si>
  <si>
    <t>REQ-2026-0033</t>
  </si>
  <si>
    <t>User 33</t>
  </si>
  <si>
    <t>REQ-2026-0034</t>
  </si>
  <si>
    <t>User 34</t>
  </si>
  <si>
    <t>REQ-2026-0035</t>
  </si>
  <si>
    <t>User 35</t>
  </si>
  <si>
    <t>REQ-2026-0036</t>
  </si>
  <si>
    <t>User 36</t>
  </si>
  <si>
    <t>REQ-2026-0037</t>
  </si>
  <si>
    <t>User 37</t>
  </si>
  <si>
    <t>REQ-2026-0038</t>
  </si>
  <si>
    <t>User 38</t>
  </si>
  <si>
    <t>REQ-2026-0039</t>
  </si>
  <si>
    <t>User 39</t>
  </si>
  <si>
    <t>REQ-2026-0040</t>
  </si>
  <si>
    <t>User 40</t>
  </si>
  <si>
    <t>REQ-2026-0041</t>
  </si>
  <si>
    <t>User 41</t>
  </si>
  <si>
    <t>REQ-2026-0042</t>
  </si>
  <si>
    <t>User 42</t>
  </si>
  <si>
    <t>REQ-2026-0043</t>
  </si>
  <si>
    <t>User 43</t>
  </si>
  <si>
    <t>REQ-2026-0044</t>
  </si>
  <si>
    <t>User 44</t>
  </si>
  <si>
    <t>REQ-2026-0045</t>
  </si>
  <si>
    <t>User 45</t>
  </si>
  <si>
    <t>REQ-2026-0046</t>
  </si>
  <si>
    <t>User 46</t>
  </si>
  <si>
    <t>REQ-2026-0047</t>
  </si>
  <si>
    <t>User 47</t>
  </si>
  <si>
    <t>REQ-2026-0048</t>
  </si>
  <si>
    <t>User 48</t>
  </si>
  <si>
    <t>REQ-2026-0049</t>
  </si>
  <si>
    <t>User 49</t>
  </si>
  <si>
    <t>REQ-2026-0050</t>
  </si>
  <si>
    <t>User 50</t>
  </si>
  <si>
    <t>REQ-2026-0051</t>
  </si>
  <si>
    <t>User 51</t>
  </si>
  <si>
    <t>REQ-2026-0052</t>
  </si>
  <si>
    <t>User 52</t>
  </si>
  <si>
    <t>REQ-2026-0053</t>
  </si>
  <si>
    <t>User 53</t>
  </si>
  <si>
    <t>REQ-2026-0054</t>
  </si>
  <si>
    <t>User 54</t>
  </si>
  <si>
    <t>REQ-2026-0055</t>
  </si>
  <si>
    <t>User 55</t>
  </si>
  <si>
    <t>REQ-2026-0056</t>
  </si>
  <si>
    <t>User 56</t>
  </si>
  <si>
    <t>REQ-2026-0057</t>
  </si>
  <si>
    <t>User 57</t>
  </si>
  <si>
    <t>REQ-2026-0058</t>
  </si>
  <si>
    <t>User 58</t>
  </si>
  <si>
    <t>REQ-2026-0059</t>
  </si>
  <si>
    <t>User 59</t>
  </si>
  <si>
    <t>REQ-2026-0060</t>
  </si>
  <si>
    <t>User 60</t>
  </si>
  <si>
    <t>REQ-2026-0061</t>
  </si>
  <si>
    <t>User 61</t>
  </si>
  <si>
    <t>REQ-2026-0062</t>
  </si>
  <si>
    <t>User 62</t>
  </si>
  <si>
    <t>REQ-2026-0063</t>
  </si>
  <si>
    <t>User 63</t>
  </si>
  <si>
    <t>REQ-2026-0064</t>
  </si>
  <si>
    <t>User 64</t>
  </si>
  <si>
    <t>REQ-2026-0065</t>
  </si>
  <si>
    <t>User 65</t>
  </si>
  <si>
    <t>REQ-2026-0066</t>
  </si>
  <si>
    <t>User 66</t>
  </si>
  <si>
    <t>REQ-2026-0067</t>
  </si>
  <si>
    <t>User 67</t>
  </si>
  <si>
    <t>REQ-2026-0068</t>
  </si>
  <si>
    <t>User 68</t>
  </si>
  <si>
    <t>REQ-2026-0069</t>
  </si>
  <si>
    <t>User 69</t>
  </si>
  <si>
    <t>REQ-2026-0070</t>
  </si>
  <si>
    <t>User 70</t>
  </si>
  <si>
    <t>REQ-2026-0071</t>
  </si>
  <si>
    <t>User 71</t>
  </si>
  <si>
    <t>REQ-2026-0072</t>
  </si>
  <si>
    <t>User 72</t>
  </si>
  <si>
    <t>REQ-2026-0073</t>
  </si>
  <si>
    <t>User 73</t>
  </si>
  <si>
    <t>REQ-2026-0074</t>
  </si>
  <si>
    <t>User 74</t>
  </si>
  <si>
    <t>REQ-2026-0075</t>
  </si>
  <si>
    <t>User 75</t>
  </si>
  <si>
    <t>REQ-2026-0076</t>
  </si>
  <si>
    <t>User 76</t>
  </si>
  <si>
    <t>REQ-2026-0077</t>
  </si>
  <si>
    <t>User 77</t>
  </si>
  <si>
    <t>REQ-2026-0078</t>
  </si>
  <si>
    <t>User 78</t>
  </si>
  <si>
    <t>REQ-2026-0079</t>
  </si>
  <si>
    <t>User 79</t>
  </si>
  <si>
    <t>REQ-2026-0080</t>
  </si>
  <si>
    <t>User 80</t>
  </si>
  <si>
    <t>REQ-2026-0081</t>
  </si>
  <si>
    <t>User 81</t>
  </si>
  <si>
    <t>REQ-2026-0082</t>
  </si>
  <si>
    <t>User 82</t>
  </si>
  <si>
    <t>REQ-2026-0083</t>
  </si>
  <si>
    <t>User 83</t>
  </si>
  <si>
    <t>REQ-2026-0084</t>
  </si>
  <si>
    <t>User 84</t>
  </si>
  <si>
    <t>REQ-2026-0085</t>
  </si>
  <si>
    <t>User 85</t>
  </si>
  <si>
    <t>REQ-2026-0086</t>
  </si>
  <si>
    <t>User 86</t>
  </si>
  <si>
    <t>REQ-2026-0087</t>
  </si>
  <si>
    <t>User 87</t>
  </si>
  <si>
    <t>REQ-2026-0088</t>
  </si>
  <si>
    <t>User 88</t>
  </si>
  <si>
    <t>REQ-2026-0089</t>
  </si>
  <si>
    <t>User 89</t>
  </si>
  <si>
    <t>REQ-2026-0090</t>
  </si>
  <si>
    <t>User 90</t>
  </si>
  <si>
    <t>REQ-2026-0091</t>
  </si>
  <si>
    <t>User 91</t>
  </si>
  <si>
    <t>REQ-2026-0092</t>
  </si>
  <si>
    <t>User 92</t>
  </si>
  <si>
    <t>REQ-2026-0093</t>
  </si>
  <si>
    <t>User 93</t>
  </si>
  <si>
    <t>REQ-2026-0094</t>
  </si>
  <si>
    <t>User 94</t>
  </si>
  <si>
    <t>REQ-2026-0095</t>
  </si>
  <si>
    <t>User 95</t>
  </si>
  <si>
    <t>REQ-2026-0096</t>
  </si>
  <si>
    <t>User 96</t>
  </si>
  <si>
    <t>REQ-2026-0097</t>
  </si>
  <si>
    <t>User 97</t>
  </si>
  <si>
    <t>REQ-2026-0098</t>
  </si>
  <si>
    <t>User 98</t>
  </si>
  <si>
    <t>REQ-2026-0099</t>
  </si>
  <si>
    <t>User 99</t>
  </si>
  <si>
    <t>REQ-2026-0100</t>
  </si>
  <si>
    <t>User 100</t>
  </si>
  <si>
    <t>REQ-2026-0101</t>
  </si>
  <si>
    <t>User 101</t>
  </si>
  <si>
    <t>REQ-2026-0102</t>
  </si>
  <si>
    <t>User 102</t>
  </si>
  <si>
    <t>REQ-2026-0103</t>
  </si>
  <si>
    <t>User 103</t>
  </si>
  <si>
    <t>REQ-2026-0104</t>
  </si>
  <si>
    <t>User 104</t>
  </si>
  <si>
    <t>REQ-2026-0105</t>
  </si>
  <si>
    <t>User 105</t>
  </si>
  <si>
    <t>REQ-2026-0106</t>
  </si>
  <si>
    <t>User 106</t>
  </si>
  <si>
    <t>REQ-2026-0107</t>
  </si>
  <si>
    <t>User 107</t>
  </si>
  <si>
    <t>REQ-2026-0108</t>
  </si>
  <si>
    <t>User 108</t>
  </si>
  <si>
    <t>REQ-2026-0109</t>
  </si>
  <si>
    <t>User 109</t>
  </si>
  <si>
    <t>REQ-2026-0110</t>
  </si>
  <si>
    <t>User 110</t>
  </si>
  <si>
    <t>REQ-2026-0111</t>
  </si>
  <si>
    <t>User 111</t>
  </si>
  <si>
    <t>REQ-2026-0112</t>
  </si>
  <si>
    <t>User 112</t>
  </si>
  <si>
    <t>REQ-2026-0113</t>
  </si>
  <si>
    <t>User 113</t>
  </si>
  <si>
    <t>REQ-2026-0114</t>
  </si>
  <si>
    <t>User 114</t>
  </si>
  <si>
    <t>REQ-2026-0115</t>
  </si>
  <si>
    <t>User 115</t>
  </si>
  <si>
    <t>REQ-2026-0116</t>
  </si>
  <si>
    <t>User 116</t>
  </si>
  <si>
    <t>REQ-2026-0117</t>
  </si>
  <si>
    <t>User 117</t>
  </si>
  <si>
    <t>REQ-2026-0118</t>
  </si>
  <si>
    <t>User 118</t>
  </si>
  <si>
    <t>REQ-2026-0119</t>
  </si>
  <si>
    <t>User 119</t>
  </si>
  <si>
    <t>REQ-2026-0120</t>
  </si>
  <si>
    <t>User 120</t>
  </si>
  <si>
    <t>REQ-2026-0121</t>
  </si>
  <si>
    <t>User 121</t>
  </si>
  <si>
    <t>REQ-2026-0122</t>
  </si>
  <si>
    <t>User 122</t>
  </si>
  <si>
    <t>REQ-2026-0123</t>
  </si>
  <si>
    <t>User 123</t>
  </si>
  <si>
    <t>REQ-2026-0124</t>
  </si>
  <si>
    <t>User 124</t>
  </si>
  <si>
    <t>REQ-2026-0125</t>
  </si>
  <si>
    <t>User 125</t>
  </si>
  <si>
    <t>REQ-2026-0126</t>
  </si>
  <si>
    <t>User 126</t>
  </si>
  <si>
    <t>REQ-2026-0127</t>
  </si>
  <si>
    <t>User 127</t>
  </si>
  <si>
    <t>REQ-2026-0128</t>
  </si>
  <si>
    <t>User 128</t>
  </si>
  <si>
    <t>REQ-2026-0129</t>
  </si>
  <si>
    <t>User 129</t>
  </si>
  <si>
    <t>REQ-2026-0130</t>
  </si>
  <si>
    <t>User 130</t>
  </si>
  <si>
    <t>REQ-2026-0131</t>
  </si>
  <si>
    <t>User 131</t>
  </si>
  <si>
    <t>REQ-2026-0132</t>
  </si>
  <si>
    <t>User 132</t>
  </si>
  <si>
    <t>REQ-2026-0133</t>
  </si>
  <si>
    <t>User 133</t>
  </si>
  <si>
    <t>REQ-2026-0134</t>
  </si>
  <si>
    <t>User 134</t>
  </si>
  <si>
    <t>REQ-2026-0135</t>
  </si>
  <si>
    <t>User 135</t>
  </si>
  <si>
    <t>REQ-2026-0136</t>
  </si>
  <si>
    <t>User 136</t>
  </si>
  <si>
    <t>REQ-2026-0137</t>
  </si>
  <si>
    <t>User 137</t>
  </si>
  <si>
    <t>REQ-2026-0138</t>
  </si>
  <si>
    <t>User 138</t>
  </si>
  <si>
    <t>REQ-2026-0139</t>
  </si>
  <si>
    <t>User 139</t>
  </si>
  <si>
    <t>REQ-2026-0140</t>
  </si>
  <si>
    <t>User 140</t>
  </si>
  <si>
    <t>REQ-2026-0141</t>
  </si>
  <si>
    <t>User 141</t>
  </si>
  <si>
    <t>REQ-2026-0142</t>
  </si>
  <si>
    <t>User 142</t>
  </si>
  <si>
    <t>REQ-2026-0143</t>
  </si>
  <si>
    <t>User 143</t>
  </si>
  <si>
    <t>REQ-2026-0144</t>
  </si>
  <si>
    <t>User 144</t>
  </si>
  <si>
    <t>REQ-2026-0145</t>
  </si>
  <si>
    <t>User 145</t>
  </si>
  <si>
    <t>REQ-2026-0146</t>
  </si>
  <si>
    <t>User 146</t>
  </si>
  <si>
    <t>REQ-2026-0147</t>
  </si>
  <si>
    <t>User 147</t>
  </si>
  <si>
    <t>REQ-2026-0148</t>
  </si>
  <si>
    <t>User 148</t>
  </si>
  <si>
    <t>REQ-2026-0149</t>
  </si>
  <si>
    <t>User 149</t>
  </si>
  <si>
    <t>REQ-2026-0150</t>
  </si>
  <si>
    <t>User 150</t>
  </si>
  <si>
    <t>StatusOrder</t>
  </si>
  <si>
    <t>IsClosed</t>
  </si>
  <si>
    <t>Rejected</t>
  </si>
  <si>
    <t>Date</t>
  </si>
  <si>
    <t>Month</t>
  </si>
  <si>
    <t>Year</t>
  </si>
  <si>
    <t>Jan</t>
  </si>
  <si>
    <t>Feb</t>
  </si>
  <si>
    <t>Mar</t>
  </si>
  <si>
    <t>Apr</t>
  </si>
  <si>
    <t>May</t>
  </si>
  <si>
    <t>Jun</t>
  </si>
  <si>
    <t>VendorName</t>
  </si>
  <si>
    <t>Alpha Supplies</t>
  </si>
  <si>
    <t>Delta Services</t>
  </si>
  <si>
    <t>Horizon Travel</t>
  </si>
  <si>
    <t>Name</t>
  </si>
  <si>
    <t>Location</t>
  </si>
  <si>
    <t>Total Requests</t>
  </si>
  <si>
    <t>Grand Total</t>
  </si>
  <si>
    <t>Row Labels</t>
  </si>
  <si>
    <t>Open Requests</t>
  </si>
  <si>
    <t>SLA Compliance %</t>
  </si>
  <si>
    <t>% of SLA_Met</t>
  </si>
  <si>
    <t>Sum of Amount_USD</t>
  </si>
  <si>
    <t>SLA_Pass</t>
  </si>
  <si>
    <t>Average of Actual_Cycle_Days</t>
  </si>
  <si>
    <t>Missing Vendor</t>
  </si>
  <si>
    <t>Count of non_zero amount</t>
  </si>
  <si>
    <t>Information Technology</t>
  </si>
  <si>
    <t>Human Resources</t>
  </si>
  <si>
    <t>Commercial Operations</t>
  </si>
  <si>
    <t>before</t>
  </si>
  <si>
    <t>after</t>
  </si>
  <si>
    <t>TOTAL REQUESTS</t>
  </si>
  <si>
    <t>OPEN REQUEST</t>
  </si>
  <si>
    <t>TOTAL SPEND (Procurment/Facilities/Travel)</t>
  </si>
  <si>
    <t>KPIs (Functions and Formula)</t>
  </si>
  <si>
    <t>SLA compliance %</t>
  </si>
  <si>
    <t>SLA compliance by RequestType and OfficeLocation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</si>
</sst>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₦&quot;* #,##0.00_-;\-&quot;₦&quot;* #,##0.00_-;_-&quot;₦&quot;* &quot;-&quot;??_-;_-@_-"/>
    <numFmt numFmtId="164" formatCode="yyyy\-mm\-dd\ hh:mm:ss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3A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1" fillId="2" borderId="5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4" fontId="0" fillId="0" borderId="8" xfId="0" applyNumberFormat="1" applyBorder="1"/>
    <xf numFmtId="14" fontId="0" fillId="0" borderId="0" xfId="0" applyNumberFormat="1"/>
    <xf numFmtId="165" fontId="1" fillId="2" borderId="6" xfId="1" applyNumberFormat="1" applyFont="1" applyFill="1" applyBorder="1" applyAlignment="1">
      <alignment horizontal="center" vertical="top"/>
    </xf>
    <xf numFmtId="165" fontId="0" fillId="0" borderId="3" xfId="1" applyNumberFormat="1" applyFont="1" applyBorder="1"/>
    <xf numFmtId="165" fontId="0" fillId="0" borderId="9" xfId="1" applyNumberFormat="1" applyFont="1" applyBorder="1"/>
    <xf numFmtId="165" fontId="0" fillId="0" borderId="0" xfId="1" applyNumberFormat="1" applyFont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/>
    <xf numFmtId="14" fontId="1" fillId="2" borderId="4" xfId="0" applyNumberFormat="1" applyFont="1" applyFill="1" applyBorder="1" applyAlignment="1">
      <alignment horizontal="center" vertical="top"/>
    </xf>
    <xf numFmtId="14" fontId="0" fillId="0" borderId="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9" fontId="0" fillId="0" borderId="0" xfId="2" applyFont="1"/>
    <xf numFmtId="0" fontId="0" fillId="0" borderId="0" xfId="0" applyAlignment="1">
      <alignment horizontal="center" vertical="center"/>
    </xf>
    <xf numFmtId="9" fontId="0" fillId="0" borderId="1" xfId="2" applyFont="1" applyBorder="1"/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62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253A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253A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253A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253A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_-[$$-409]* #,##0.00_ ;_-[$$-409]* \-#,##0.00\ ;_-[$$-409]* &quot;-&quot;??_ ;_-@_ 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253A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253A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[Ademola_Process_Analyst_Assessment_Dataset.xlsx]Pivot table!SLA compliance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</a:t>
            </a:r>
            <a:r>
              <a:rPr lang="en-US" sz="16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SLA_Met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3497156605424322"/>
          <c:y val="0.26934966462525517"/>
          <c:w val="0.32727909011373579"/>
          <c:h val="0.54546515018955966"/>
        </c:manualLayout>
      </c:layout>
      <c:doughnutChart>
        <c:varyColors val="1"/>
        <c:ser>
          <c:idx val="0"/>
          <c:order val="0"/>
          <c:tx>
            <c:strRef>
              <c:f>'Pivot table'!$H$4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29-4425-ACB4-853EA8EB5236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29-4425-ACB4-853EA8EB5236}"/>
              </c:ext>
            </c:extLst>
          </c:dPt>
          <c:cat>
            <c:strRef>
              <c:f>'Pivot table'!$G$5:$G$6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table'!$H$5:$H$6</c:f>
              <c:numCache>
                <c:formatCode>0.00%</c:formatCode>
                <c:ptCount val="2"/>
                <c:pt idx="0">
                  <c:v>0.2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9-4425-ACB4-853EA8EB5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[Ademola_Process_Analyst_Assessment_Dataset.xlsx]Pivot table!PivotTable6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</a:t>
            </a:r>
            <a:r>
              <a:rPr lang="en-US" sz="1600" b="1" baseline="0">
                <a:solidFill>
                  <a:schemeClr val="tx1"/>
                </a:solidFill>
              </a:rPr>
              <a:t> 3 category with average cycle time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table'!$L$14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table'!$K$15:$K$17</c:f>
              <c:strCache>
                <c:ptCount val="3"/>
                <c:pt idx="0">
                  <c:v>Facilities</c:v>
                </c:pt>
                <c:pt idx="1">
                  <c:v>Travel/Visa</c:v>
                </c:pt>
                <c:pt idx="2">
                  <c:v>Reporting</c:v>
                </c:pt>
              </c:strCache>
            </c:strRef>
          </c:cat>
          <c:val>
            <c:numRef>
              <c:f>'Pivot table'!$L$15:$L$17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4-4007-824B-19DB5240A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806799"/>
        <c:axId val="919807279"/>
      </c:barChart>
      <c:catAx>
        <c:axId val="919806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9807279"/>
        <c:crosses val="autoZero"/>
        <c:auto val="1"/>
        <c:lblAlgn val="ctr"/>
        <c:lblOffset val="100"/>
        <c:noMultiLvlLbl val="0"/>
      </c:catAx>
      <c:valAx>
        <c:axId val="9198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1980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3</xdr:row>
      <xdr:rowOff>45720</xdr:rowOff>
    </xdr:from>
    <xdr:to>
      <xdr:col>3</xdr:col>
      <xdr:colOff>114300</xdr:colOff>
      <xdr:row>8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E7333EC-1593-903D-7FD2-790FA5133FF6}"/>
            </a:ext>
          </a:extLst>
        </xdr:cNvPr>
        <xdr:cNvSpPr/>
      </xdr:nvSpPr>
      <xdr:spPr>
        <a:xfrm>
          <a:off x="708660" y="594360"/>
          <a:ext cx="1844040" cy="1021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Total Requests</a:t>
          </a:r>
        </a:p>
      </xdr:txBody>
    </xdr:sp>
    <xdr:clientData/>
  </xdr:twoCellAnchor>
  <xdr:oneCellAnchor>
    <xdr:from>
      <xdr:col>0</xdr:col>
      <xdr:colOff>114300</xdr:colOff>
      <xdr:row>5</xdr:row>
      <xdr:rowOff>0</xdr:rowOff>
    </xdr:from>
    <xdr:ext cx="1836420" cy="693420"/>
    <xdr:sp macro="" textlink="'Pivot table'!B7">
      <xdr:nvSpPr>
        <xdr:cNvPr id="3" name="TextBox 2">
          <a:extLst>
            <a:ext uri="{FF2B5EF4-FFF2-40B4-BE49-F238E27FC236}">
              <a16:creationId xmlns:a16="http://schemas.microsoft.com/office/drawing/2014/main" id="{04020500-2B82-1B67-0A54-EE009474BDD5}"/>
            </a:ext>
          </a:extLst>
        </xdr:cNvPr>
        <xdr:cNvSpPr txBox="1"/>
      </xdr:nvSpPr>
      <xdr:spPr>
        <a:xfrm>
          <a:off x="723900" y="914400"/>
          <a:ext cx="1836420" cy="693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7295EF47-1920-427D-8491-6A0F29E66BDF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150</a:t>
          </a:fld>
          <a:endParaRPr lang="en-NG" sz="2400" b="1"/>
        </a:p>
      </xdr:txBody>
    </xdr:sp>
    <xdr:clientData/>
  </xdr:oneCellAnchor>
  <xdr:twoCellAnchor>
    <xdr:from>
      <xdr:col>3</xdr:col>
      <xdr:colOff>342900</xdr:colOff>
      <xdr:row>3</xdr:row>
      <xdr:rowOff>30480</xdr:rowOff>
    </xdr:from>
    <xdr:to>
      <xdr:col>6</xdr:col>
      <xdr:colOff>358140</xdr:colOff>
      <xdr:row>8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C1B4767-70AB-46CD-B7CA-C587152B15AE}"/>
            </a:ext>
          </a:extLst>
        </xdr:cNvPr>
        <xdr:cNvSpPr/>
      </xdr:nvSpPr>
      <xdr:spPr>
        <a:xfrm>
          <a:off x="2781300" y="579120"/>
          <a:ext cx="1844040" cy="10439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Open Requests</a:t>
          </a:r>
        </a:p>
      </xdr:txBody>
    </xdr:sp>
    <xdr:clientData/>
  </xdr:twoCellAnchor>
  <xdr:oneCellAnchor>
    <xdr:from>
      <xdr:col>3</xdr:col>
      <xdr:colOff>342900</xdr:colOff>
      <xdr:row>5</xdr:row>
      <xdr:rowOff>30480</xdr:rowOff>
    </xdr:from>
    <xdr:ext cx="1844040" cy="678180"/>
    <xdr:sp macro="" textlink="'Pivot table'!E10">
      <xdr:nvSpPr>
        <xdr:cNvPr id="6" name="TextBox 5">
          <a:extLst>
            <a:ext uri="{FF2B5EF4-FFF2-40B4-BE49-F238E27FC236}">
              <a16:creationId xmlns:a16="http://schemas.microsoft.com/office/drawing/2014/main" id="{34786FAF-AA94-C769-DB0B-499391B1B1A2}"/>
            </a:ext>
          </a:extLst>
        </xdr:cNvPr>
        <xdr:cNvSpPr txBox="1"/>
      </xdr:nvSpPr>
      <xdr:spPr>
        <a:xfrm>
          <a:off x="2781300" y="944880"/>
          <a:ext cx="1844040" cy="678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222F21BB-0620-4944-9EB7-0B8245094EDD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90</a:t>
          </a:fld>
          <a:endParaRPr lang="en-NG" sz="2400" b="1"/>
        </a:p>
      </xdr:txBody>
    </xdr:sp>
    <xdr:clientData/>
  </xdr:oneCellAnchor>
  <xdr:twoCellAnchor>
    <xdr:from>
      <xdr:col>0</xdr:col>
      <xdr:colOff>121920</xdr:colOff>
      <xdr:row>9</xdr:row>
      <xdr:rowOff>175260</xdr:rowOff>
    </xdr:from>
    <xdr:to>
      <xdr:col>4</xdr:col>
      <xdr:colOff>548640</xdr:colOff>
      <xdr:row>25</xdr:row>
      <xdr:rowOff>68580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E86CD8-DB26-496B-BB73-C617EAD11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480060</xdr:colOff>
      <xdr:row>16</xdr:row>
      <xdr:rowOff>157354</xdr:rowOff>
    </xdr:from>
    <xdr:ext cx="952500" cy="468013"/>
    <xdr:sp macro="" textlink="'Pivot table'!H9">
      <xdr:nvSpPr>
        <xdr:cNvPr id="13" name="TextBox 12">
          <a:extLst>
            <a:ext uri="{FF2B5EF4-FFF2-40B4-BE49-F238E27FC236}">
              <a16:creationId xmlns:a16="http://schemas.microsoft.com/office/drawing/2014/main" id="{FD8D22FF-6E35-8611-119E-BC06F86CA33B}"/>
            </a:ext>
          </a:extLst>
        </xdr:cNvPr>
        <xdr:cNvSpPr txBox="1"/>
      </xdr:nvSpPr>
      <xdr:spPr>
        <a:xfrm>
          <a:off x="1699260" y="3083434"/>
          <a:ext cx="9525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D784436B-A132-4468-829A-F07B83A6CA85}" type="TxLink">
            <a:rPr lang="en-US" sz="24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80%</a:t>
          </a:fld>
          <a:endParaRPr lang="en-NG" sz="2400" b="1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586740</xdr:colOff>
      <xdr:row>3</xdr:row>
      <xdr:rowOff>0</xdr:rowOff>
    </xdr:from>
    <xdr:to>
      <xdr:col>9</xdr:col>
      <xdr:colOff>601980</xdr:colOff>
      <xdr:row>8</xdr:row>
      <xdr:rowOff>129540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9011FB7-2977-4E56-9E1C-B37DAAAC38EC}"/>
            </a:ext>
          </a:extLst>
        </xdr:cNvPr>
        <xdr:cNvSpPr/>
      </xdr:nvSpPr>
      <xdr:spPr>
        <a:xfrm>
          <a:off x="4853940" y="548640"/>
          <a:ext cx="1844040" cy="10439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Total Spend for procurment/facilities/Travel</a:t>
          </a:r>
        </a:p>
      </xdr:txBody>
    </xdr:sp>
    <xdr:clientData/>
  </xdr:twoCellAnchor>
  <xdr:oneCellAnchor>
    <xdr:from>
      <xdr:col>6</xdr:col>
      <xdr:colOff>586740</xdr:colOff>
      <xdr:row>5</xdr:row>
      <xdr:rowOff>60960</xdr:rowOff>
    </xdr:from>
    <xdr:ext cx="1844040" cy="647700"/>
    <xdr:sp macro="" textlink="'Pivot table'!K12">
      <xdr:nvSpPr>
        <xdr:cNvPr id="15" name="TextBox 14">
          <a:extLst>
            <a:ext uri="{FF2B5EF4-FFF2-40B4-BE49-F238E27FC236}">
              <a16:creationId xmlns:a16="http://schemas.microsoft.com/office/drawing/2014/main" id="{3C0A9534-D97B-0E93-E0AA-F4E08ACA8479}"/>
            </a:ext>
          </a:extLst>
        </xdr:cNvPr>
        <xdr:cNvSpPr txBox="1"/>
      </xdr:nvSpPr>
      <xdr:spPr>
        <a:xfrm>
          <a:off x="4853940" y="975360"/>
          <a:ext cx="18440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D1AE5D5A-4D0E-4769-9B4D-2D4C9BFB011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$523,500.00 </a:t>
          </a:fld>
          <a:endParaRPr lang="en-NG" sz="2400" b="1">
            <a:latin typeface="+mn-lt"/>
            <a:cs typeface="Arial" panose="020B0604020202020204" pitchFamily="34" charset="0"/>
          </a:endParaRPr>
        </a:p>
      </xdr:txBody>
    </xdr:sp>
    <xdr:clientData/>
  </xdr:oneCellAnchor>
  <xdr:twoCellAnchor>
    <xdr:from>
      <xdr:col>5</xdr:col>
      <xdr:colOff>121920</xdr:colOff>
      <xdr:row>9</xdr:row>
      <xdr:rowOff>175260</xdr:rowOff>
    </xdr:from>
    <xdr:to>
      <xdr:col>10</xdr:col>
      <xdr:colOff>541020</xdr:colOff>
      <xdr:row>24</xdr:row>
      <xdr:rowOff>175260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5F8D1AC-0F1F-4BB5-BAD6-03A2C2474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0.42167</cdr:x>
      <cdr:y>0.55556</cdr:y>
    </cdr:from>
    <cdr:to>
      <cdr:x>0.62167</cdr:x>
      <cdr:y>0.88889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3E705A1-48A0-DCDF-0040-6217907BE2DF}"/>
            </a:ext>
          </a:extLst>
        </cdr:cNvPr>
        <cdr:cNvSpPr txBox="1"/>
      </cdr:nvSpPr>
      <cdr:spPr>
        <a:xfrm xmlns:a="http://schemas.openxmlformats.org/drawingml/2006/main">
          <a:off x="1927860" y="1524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39467592" createdVersion="8" refreshedVersion="8" minRefreshableVersion="3" recordCount="0" supportSubquery="1" supportAdvancedDrill="1" xr:uid="{4CE35341-BC38-4F14-BA57-B813A3A38113}">
  <cacheSource type="external" connectionId="1"/>
  <cacheFields count="3">
    <cacheField name="[Table1].[RequestType].[RequestType]" caption="RequestType" numFmtId="0" hierarchy="4" level="1">
      <sharedItems count="5">
        <s v="Access Request"/>
        <s v="Facilities"/>
        <s v="Procurement"/>
        <s v="Reporting"/>
        <s v="Travel/Visa"/>
      </sharedItems>
    </cacheField>
    <cacheField name="[Table1].[OfficeLocation].[OfficeLocation]" caption="OfficeLocation" numFmtId="0" hierarchy="2" level="1">
      <sharedItems count="4">
        <s v="Athens"/>
        <s v="Lagos"/>
        <s v="London"/>
        <s v="Singapore"/>
      </sharedItems>
    </cacheField>
    <cacheField name="[Measures].[Average of SLA_Pass]" caption="Average of SLA_Pass" numFmtId="0" hierarchy="52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42361109" createdVersion="8" refreshedVersion="8" minRefreshableVersion="3" recordCount="0" supportSubquery="1" supportAdvancedDrill="1" xr:uid="{D9F5F866-2E99-4A5B-99F3-B9C5EB4DAFF4}">
  <cacheSource type="external" connectionId="1"/>
  <cacheFields count="2">
    <cacheField name="[Table1].[RequestType].[RequestType]" caption="RequestType" numFmtId="0" hierarchy="4" level="1">
      <sharedItems count="3">
        <s v="Facilities"/>
        <s v="Procurement"/>
        <s v="Travel/Visa"/>
      </sharedItems>
    </cacheField>
    <cacheField name="[Measures].[Sum of Amount_USD]" caption="Sum of Amount_USD" numFmtId="0" hierarchy="49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46759258" createdVersion="5" refreshedVersion="8" minRefreshableVersion="3" recordCount="0" supportSubquery="1" supportAdvancedDrill="1" xr:uid="{0343EFE0-51ED-41D6-92C7-9946643C19CE}">
  <cacheSource type="external" connectionId="1"/>
  <cacheFields count="1">
    <cacheField name="[Measures].[Count of RequestID]" caption="Count of RequestID" numFmtId="0" hierarchy="43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48842591" createdVersion="8" refreshedVersion="8" minRefreshableVersion="3" recordCount="0" supportSubquery="1" supportAdvancedDrill="1" xr:uid="{33C4F487-1A6D-411A-A4A0-D3E367A2B363}">
  <cacheSource type="external" connectionId="1"/>
  <cacheFields count="2">
    <cacheField name="[Table1].[SLA_Met].[SLA_Met]" caption="SLA_Met" numFmtId="0" hierarchy="20" level="1">
      <sharedItems count="2">
        <s v="No"/>
        <s v="Yes"/>
      </sharedItems>
    </cacheField>
    <cacheField name="[Measures].[Count of SLA_Met]" caption="Count of SLA_Met" numFmtId="0" hierarchy="48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50810184" createdVersion="8" refreshedVersion="8" minRefreshableVersion="3" recordCount="0" supportSubquery="1" supportAdvancedDrill="1" xr:uid="{14CC1D70-E4E5-4F29-80AB-D8C6F37D31E6}">
  <cacheSource type="external" connectionId="1"/>
  <cacheFields count="2">
    <cacheField name="[Table1].[VendorName].[VendorName]" caption="VendorName" numFmtId="0" hierarchy="9" level="1">
      <sharedItems count="1">
        <s v="Missing Vendor"/>
      </sharedItems>
    </cacheField>
    <cacheField name="[Measures].[Count of Amount_USD]" caption="Count of Amount_USD" numFmtId="0" hierarchy="55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53009262" createdVersion="8" refreshedVersion="8" minRefreshableVersion="3" recordCount="0" supportSubquery="1" supportAdvancedDrill="1" xr:uid="{45B96D81-DA14-4734-9E1F-8AD4097DEA3D}">
  <cacheSource type="external" connectionId="1"/>
  <cacheFields count="3">
    <cacheField name="[Table1].[RequestType].[RequestType]" caption="RequestType" numFmtId="0" hierarchy="4" level="1">
      <sharedItems count="5">
        <s v="Access Request"/>
        <s v="Facilities"/>
        <s v="Procurement"/>
        <s v="Reporting"/>
        <s v="Travel/Visa"/>
      </sharedItems>
    </cacheField>
    <cacheField name="[Table1].[OfficeLocation].[OfficeLocation]" caption="OfficeLocation" numFmtId="0" hierarchy="2" level="1">
      <sharedItems count="4">
        <s v="Athens"/>
        <s v="Lagos"/>
        <s v="London"/>
        <s v="Singapore"/>
      </sharedItems>
    </cacheField>
    <cacheField name="[Measures].[Average of SLA_Pass]" caption="Average of SLA_Pass" numFmtId="0" hierarchy="52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55324072" createdVersion="8" refreshedVersion="8" minRefreshableVersion="3" recordCount="0" supportSubquery="1" supportAdvancedDrill="1" xr:uid="{C7867A30-F8EB-4A70-A491-5EAC633BF394}">
  <cacheSource type="external" connectionId="1"/>
  <cacheFields count="3">
    <cacheField name="[Table1].[Status].[Status]" caption="Status" numFmtId="0" hierarchy="14" level="1">
      <sharedItems count="3">
        <s v="Approved"/>
        <s v="Pending Approval"/>
        <s v="Submitted"/>
      </sharedItems>
    </cacheField>
    <cacheField name="[Measures].[Count of Status 2]" caption="Count of Status 2" numFmtId="0" hierarchy="47" level="32767"/>
    <cacheField name="[Table3].[IsClosed].[IsClosed]" caption="IsClosed" numFmtId="0" hierarchy="27" level="1">
      <sharedItems count="1">
        <s v="No"/>
      </sharedItems>
    </cacheField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2" memberValueDatatype="130" unbalanced="0">
      <fieldsUsage count="2">
        <fieldUsage x="-1"/>
        <fieldUsage x="2"/>
      </fieldsUsage>
    </cacheHierarchy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815857407404" createdVersion="8" refreshedVersion="8" minRefreshableVersion="3" recordCount="0" supportSubquery="1" supportAdvancedDrill="1" xr:uid="{CA81CB70-301F-45A9-AB11-CA5B95118685}">
  <cacheSource type="external" connectionId="1"/>
  <cacheFields count="2">
    <cacheField name="[Table1].[Department].[Department]" caption="Department" numFmtId="0" hierarchy="3" level="1">
      <sharedItems count="5">
        <s v="Commercial Operations"/>
        <s v="Finance"/>
        <s v="Human Resources"/>
        <s v="Information Technology"/>
        <s v="Operations"/>
      </sharedItems>
    </cacheField>
    <cacheField name="[Measures].[Sum of Amount_USD]" caption="Sum of Amount_USD" numFmtId="0" hierarchy="49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questType]" caption="RequestType" attribute="1" defaultMemberUniqueName="[Table1].[RequestType].[All]" allUniqueName="[Table1].[RequestTyp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mola Ogunsola" refreshedDate="46131.98644270833" createdVersion="8" refreshedVersion="8" minRefreshableVersion="3" recordCount="0" supportSubquery="1" supportAdvancedDrill="1" xr:uid="{214EC429-4B19-48F6-B9CE-A469BA3C956D}">
  <cacheSource type="external" connectionId="1"/>
  <cacheFields count="2">
    <cacheField name="[Table1].[RequestType].[RequestType]" caption="RequestType" numFmtId="0" hierarchy="4" level="1">
      <sharedItems count="3">
        <s v="Facilities"/>
        <s v="Reporting"/>
        <s v="Travel/Visa"/>
      </sharedItems>
    </cacheField>
    <cacheField name="[Measures].[Average of Actual_Cycle_Days]" caption="Average of Actual_Cycle_Days" numFmtId="0" hierarchy="54" level="32767"/>
  </cacheFields>
  <cacheHierarchies count="56">
    <cacheHierarchy uniqueName="[Table1].[RequestID]" caption="RequestID" attribute="1" defaultMemberUniqueName="[Table1].[RequestID].[All]" allUniqueName="[Table1].[RequestID].[All]" dimensionUniqueName="[Table1]" displayFolder="" count="0" memberValueDatatype="130" unbalanced="0"/>
    <cacheHierarchy uniqueName="[Table1].[RequestDate]" caption="RequestDate" attribute="1" time="1" defaultMemberUniqueName="[Table1].[RequestDate].[All]" allUniqueName="[Table1].[RequestDate].[All]" dimensionUniqueName="[Table1]" displayFolder="" count="0" memberValueDatatype="7" unbalanced="0"/>
    <cacheHierarchy uniqueName="[Table1].[OfficeLocation]" caption="OfficeLocation" attribute="1" defaultMemberUniqueName="[Table1].[OfficeLocation].[All]" allUniqueName="[Table1].[OfficeLocation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questType]" caption="RequestType" attribute="1" defaultMemberUniqueName="[Table1].[RequestType].[All]" allUniqueName="[Table1].[Request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RequesterName]" caption="RequesterName" attribute="1" defaultMemberUniqueName="[Table1].[RequesterName].[All]" allUniqueName="[Table1].[RequesterName].[All]" dimensionUniqueName="[Table1]" displayFolder="" count="0" memberValueDatatype="130" unbalanced="0"/>
    <cacheHierarchy uniqueName="[Table1].[ApproverName]" caption="ApproverName" attribute="1" defaultMemberUniqueName="[Table1].[ApproverName].[All]" allUniqueName="[Table1].[ApproverName].[All]" dimensionUniqueName="[Table1]" displayFolder="" count="0" memberValueDatatype="130" unbalanced="0"/>
    <cacheHierarchy uniqueName="[Table1].[VendorName]" caption="VendorName" attribute="1" defaultMemberUniqueName="[Table1].[VendorName].[All]" allUniqueName="[Table1].[VendorName].[All]" dimensionUniqueName="[Table1]" displayFolder="" count="0" memberValueDatatype="130" unbalanced="0"/>
    <cacheHierarchy uniqueName="[Table1].[VendorID]" caption="VendorID" attribute="1" defaultMemberUniqueName="[Table1].[VendorID].[All]" allUniqueName="[Table1].[VendorID].[All]" dimensionUniqueName="[Table1]" displayFolder="" count="0" memberValueDatatype="130" unbalanced="0"/>
    <cacheHierarchy uniqueName="[Table1].[Amount_USD]" caption="Amount_USD" attribute="1" defaultMemberUniqueName="[Table1].[Amount_USD].[All]" allUniqueName="[Table1].[Amount_USD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quiredBy]" caption="RequiredBy" attribute="1" time="1" defaultMemberUniqueName="[Table1].[RequiredBy].[All]" allUniqueName="[Table1].[RequiredBy].[All]" dimensionUniqueName="[Table1]" displayFolder="" count="0" memberValueDatatype="7" unbalanced="0"/>
    <cacheHierarchy uniqueName="[Table1].[ApprovalDate]" caption="ApprovalDate" attribute="1" time="1" defaultMemberUniqueName="[Table1].[ApprovalDate].[All]" allUniqueName="[Table1].[ApprovalDate].[All]" dimensionUniqueName="[Table1]" displayFolder="" count="0" memberValueDatatype="7" unbalanced="0"/>
    <cacheHierarchy uniqueName="[Table1].[CompletionDate]" caption="CompletionDate" attribute="1" time="1" defaultMemberUniqueName="[Table1].[CompletionDate].[All]" allUniqueName="[Table1].[CompletionDate].[All]" dimensionUniqueName="[Table1]" displayFolder="" count="0" memberValueDatatype="7" unbalanced="0"/>
    <cacheHierarchy uniqueName="[Table1].[SLA_Target_Days]" caption="SLA_Target_Days" attribute="1" defaultMemberUniqueName="[Table1].[SLA_Target_Days].[All]" allUniqueName="[Table1].[SLA_Target_Days].[All]" dimensionUniqueName="[Table1]" displayFolder="" count="0" memberValueDatatype="20" unbalanced="0"/>
    <cacheHierarchy uniqueName="[Table1].[Actual_Cycle_Days]" caption="Actual_Cycle_Days" attribute="1" defaultMemberUniqueName="[Table1].[Actual_Cycle_Days].[All]" allUniqueName="[Table1].[Actual_Cycle_Days].[All]" dimensionUniqueName="[Table1]" displayFolder="" count="0" memberValueDatatype="20" unbalanced="0"/>
    <cacheHierarchy uniqueName="[Table1].[SLA_Met]" caption="SLA_Met" attribute="1" defaultMemberUniqueName="[Table1].[SLA_Met].[All]" allUniqueName="[Table1].[SLA_Met].[All]" dimensionUniqueName="[Table1]" displayFolder="" count="0" memberValueDatatype="130" unbalanced="0"/>
    <cacheHierarchy uniqueName="[Table1].[SLA_Pass]" caption="SLA_Pass" attribute="1" defaultMemberUniqueName="[Table1].[SLA_Pass].[All]" allUniqueName="[Table1].[SLA_Pass].[All]" dimensionUniqueName="[Table1]" displayFolder="" count="0" memberValueDatatype="20" unbalanced="0"/>
    <cacheHierarchy uniqueName="[Table2].[RequestType]" caption="RequestType" attribute="1" defaultMemberUniqueName="[Table2].[RequestType].[All]" allUniqueName="[Table2].[RequestTyp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LA_Target_Days]" caption="SLA_Target_Days" attribute="1" defaultMemberUniqueName="[Table2].[SLA_Target_Days].[All]" allUniqueName="[Table2].[SLA_Target_Days].[All]" dimensionUniqueName="[Table2]" displayFolder="" count="0" memberValueDatatype="20" unbalanced="0"/>
    <cacheHierarchy uniqueName="[Table3].[Status]" caption="Status" attribute="1" defaultMemberUniqueName="[Table3].[Status].[All]" allUniqueName="[Table3].[Status].[All]" dimensionUniqueName="[Table3]" displayFolder="" count="0" memberValueDatatype="130" unbalanced="0"/>
    <cacheHierarchy uniqueName="[Table3].[StatusOrder]" caption="StatusOrder" attribute="1" defaultMemberUniqueName="[Table3].[StatusOrder].[All]" allUniqueName="[Table3].[StatusOrder].[All]" dimensionUniqueName="[Table3]" displayFolder="" count="0" memberValueDatatype="20" unbalanced="0"/>
    <cacheHierarchy uniqueName="[Table3].[IsClosed]" caption="IsClosed" attribute="1" defaultMemberUniqueName="[Table3].[IsClosed].[All]" allUniqueName="[Table3].[IsClosed].[All]" dimensionUniqueName="[Table3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VendorID]" caption="VendorID" attribute="1" defaultMemberUniqueName="[Table5].[VendorID].[All]" allUniqueName="[Table5].[VendorID].[All]" dimensionUniqueName="[Table5]" displayFolder="" count="0" memberValueDatatype="130" unbalanced="0"/>
    <cacheHierarchy uniqueName="[Table5].[VendorName]" caption="VendorName" attribute="1" defaultMemberUniqueName="[Table5].[VendorName].[All]" allUniqueName="[Table5].[VendorName].[All]" dimensionUniqueName="[Table5]" displayFolder="" count="0" memberValueDatatype="130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Department]" caption="Department" attribute="1" defaultMemberUniqueName="[Table6].[Department].[All]" allUniqueName="[Table6].[Department].[All]" dimensionUniqueName="[Table6]" displayFolder="" count="0" memberValueDatatype="130" unbalanced="0"/>
    <cacheHierarchy uniqueName="[Table6].[Location]" caption="Location" attribute="1" defaultMemberUniqueName="[Table6].[Location].[All]" allUniqueName="[Table6].[Location].[All]" dimensionUniqueName="[Table6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Count of RequestID]" caption="Count of Reques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us]" caption="Count of Status" measure="1" displayFolder="" measureGroup="Table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IsClosed]" caption="Count of IsClosed" measure="1" displayFolder="" measureGroup="Tabl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tatusOrder]" caption="Sum of StatusOrder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tatus 2]" caption="Count of Statu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LA_Met]" caption="Count of SLA_Me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_USD]" caption="Sum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fficeLocation]" caption="Count of Office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LA_Pass]" caption="Sum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LA_Pass]" caption="Average of SLA_Pass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ual_Cycle_Days]" caption="Sum of Actual_Cycle_Days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Cycle_Days]" caption="Average of Actual_Cycle_Day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mount_USD]" caption="Count of Amount_USD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  <dimension name="Table6" uniqueName="[Table6]" caption="Table6"/>
  </dimensions>
  <measureGroups count="6">
    <measureGroup name="Table1" caption="Table1"/>
    <measureGroup name="Table2" caption="Table2"/>
    <measureGroup name="Table3" caption="Table3"/>
    <measureGroup name="Table4" caption="Table4"/>
    <measureGroup name="Table5" caption="Table5"/>
    <measureGroup name="Table6" caption="Table6"/>
  </measureGroups>
  <maps count="11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A14A5-581E-4BB7-BB56-B9F9BB53CB01}" name="PivotTable1" cacheId="0" applyNumberFormats="0" applyBorderFormats="0" applyFontFormats="0" applyPatternFormats="0" applyAlignmentFormats="0" applyWidthHeightFormats="1" dataCaption="Values" tag="fdd472c8-cb5d-4185-ae4b-88d9d8bac3d7" updatedVersion="8" minRefreshableVersion="3" useAutoFormatting="1" subtotalHiddenItems="1" rowGrandTotals="0" colGrandTotals="0" itemPrintTitles="1" createdVersion="8" indent="0" showHeaders="0" outline="1" outlineData="1" multipleFieldFilters="0">
  <location ref="P5:T1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LA_Pass" fld="2" subtotal="average" baseField="0" baseItem="2" numFmtId="10"/>
  </dataField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LA_Pas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6D251-1B4F-4DA1-850B-79ADA8622F79}" name="SLA compliance" cacheId="3" applyNumberFormats="0" applyBorderFormats="0" applyFontFormats="0" applyPatternFormats="0" applyAlignmentFormats="0" applyWidthHeightFormats="1" dataCaption="Values" tag="208c7c06-9111-40f7-bbc4-943e867948f1" updatedVersion="8" minRefreshableVersion="3" useAutoFormatting="1" subtotalHiddenItems="1" rowGrandTotals="0" itemPrintTitles="1" createdVersion="8" indent="0" showHeaders="0" outline="1" outlineData="1" multipleFieldFilters="0" chartFormat="39">
  <location ref="G4:H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% of SLA_Met" fld="1" subtotal="count" showDataAs="percentOfCol" baseField="0" baseItem="0" numFmtId="10"/>
  </dataFields>
  <chartFormats count="3"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% of SLA_Me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2B8CF-34CA-4E44-AB61-AE48C2E05395}" name="PivotTable3" cacheId="7" applyNumberFormats="0" applyBorderFormats="0" applyFontFormats="0" applyPatternFormats="0" applyAlignmentFormats="0" applyWidthHeightFormats="1" dataCaption="Values" tag="954b1656-8f24-4884-9d61-a32d64f084e8" updatedVersion="8" minRefreshableVersion="3" useAutoFormatting="1" itemPrintTitles="1" createdVersion="8" indent="0" outline="1" outlineData="1" multipleFieldFilters="0">
  <location ref="M4:N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_USD" fld="1" baseField="0" baseItem="0"/>
  </dataFields>
  <formats count="2"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6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D32D7-3948-44EC-97E7-5CB00FC2D495}" name="Open_requests" cacheId="6" applyNumberFormats="0" applyBorderFormats="0" applyFontFormats="0" applyPatternFormats="0" applyAlignmentFormats="0" applyWidthHeightFormats="1" dataCaption="Values" tag="3dc7aca7-4625-4082-9a5d-9e0d67d76f32" updatedVersion="8" minRefreshableVersion="3" useAutoFormatting="1" subtotalHiddenItems="1" colGrandTotals="0" itemPrintTitles="1" createdVersion="8" indent="0" showHeaders="0" outline="1" outlineData="1" multipleFieldFilters="0">
  <location ref="D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s="1" x="0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1">
    <i>
      <x/>
    </i>
  </colItems>
  <dataFields count="1">
    <dataField name="Open Requests" fld="1" subtotal="count" baseField="0" baseItem="0"/>
  </dataField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DEC80-44BE-4F34-8BC6-2C28EE18BC95}" name="Total_Request" cacheId="2" applyNumberFormats="0" applyBorderFormats="0" applyFontFormats="0" applyPatternFormats="0" applyAlignmentFormats="0" applyWidthHeightFormats="1" dataCaption="Values" tag="68066eea-2df2-4f44-ae8b-bab611a7fc45" updatedVersion="8" minRefreshableVersion="3" useAutoFormatting="1" subtotalHiddenItems="1" itemPrintTitles="1" createdVersion="5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quests" fld="0" subtotal="count" baseField="0" baseItem="0"/>
  </dataField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que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C7421-1A04-40E0-A5DF-E6638D5B1D9C}" name="PivotTable5" cacheId="5" applyNumberFormats="0" applyBorderFormats="0" applyFontFormats="0" applyPatternFormats="0" applyAlignmentFormats="0" applyWidthHeightFormats="1" dataCaption="Values" tag="fdd472c8-cb5d-4185-ae4b-88d9d8bac3d7" updatedVersion="8" minRefreshableVersion="3" useAutoFormatting="1" subtotalHiddenItems="1" rowGrandTotals="0" colGrandTotals="0" itemPrintTitles="1" createdVersion="8" indent="0" showHeaders="0" outline="1" outlineData="1" multipleFieldFilters="0">
  <location ref="D13:H1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LA_Pass" fld="2" subtotal="average" baseField="0" baseItem="2" numFmtId="10"/>
  </dataField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LA_Pas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6D90-357B-4434-92C3-279731AB9A5B}" name="Total_spend" cacheId="1" applyNumberFormats="0" applyBorderFormats="0" applyFontFormats="0" applyPatternFormats="0" applyAlignmentFormats="0" applyWidthHeightFormats="1" dataCaption="Values" tag="29c33932-2120-4761-91ba-79714a713747" updatedVersion="8" minRefreshableVersion="3" useAutoFormatting="1" subtotalHiddenItems="1" itemPrintTitles="1" createdVersion="8" indent="0" outline="1" outlineData="1" multipleFieldFilters="0">
  <location ref="J4:K8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_USD" fld="1" baseField="0" baseItem="0" numFmtId="165"/>
  </dataFields>
  <formats count="1">
    <format dxfId="2">
      <pivotArea outline="0" collapsedLevelsAreSubtotals="1" fieldPosition="0"/>
    </format>
  </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95FD1-0104-4B8D-9CCF-D0DBCC00D620}" name="PivotTable7" cacheId="4" applyNumberFormats="0" applyBorderFormats="0" applyFontFormats="0" applyPatternFormats="0" applyAlignmentFormats="0" applyWidthHeightFormats="1" dataCaption="Values" tag="feec9d36-0672-4c3d-a3a1-b4aab47f9229" updatedVersion="8" minRefreshableVersion="3" useAutoFormatting="1" subtotalHiddenItems="1" rowGrandTotals="0" colGrandTotals="0" itemPrintTitles="1" createdVersion="8" indent="0" outline="1" outlineData="1" multipleFieldFilters="0">
  <location ref="F22:G23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Count of non_zero amount" fld="1" subtotal="count" baseField="0" baseItem="0"/>
  </dataField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non_zero amount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82E36-0C5E-41BC-B6BC-5EBE5F12C4BF}" name="PivotTable6" cacheId="8" applyNumberFormats="0" applyBorderFormats="0" applyFontFormats="0" applyPatternFormats="0" applyAlignmentFormats="0" applyWidthHeightFormats="1" dataCaption="Values" tag="69b984da-c93c-4e7b-9a87-674100298299" updatedVersion="8" minRefreshableVersion="3" useAutoFormatting="1" subtotalHiddenItems="1" rowGrandTotals="0" colGrandTotals="0" itemPrintTitles="1" createdVersion="8" indent="0" outline="1" outlineData="1" multipleFieldFilters="0" chartFormat="14">
  <location ref="K14:L17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">
    <i>
      <x/>
    </i>
    <i>
      <x v="2"/>
    </i>
    <i>
      <x v="1"/>
    </i>
  </rowItems>
  <colItems count="1">
    <i/>
  </colItems>
  <dataFields count="1">
    <dataField name="Average of Actual_Cycle_Days" fld="1" subtotal="average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Cycle_Days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54">
      <autoFilter ref="A1">
        <filterColumn colId="0">
          <top10 val="3" filterVal="3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A6907-BE54-447A-A7CB-529BF33DBEB6}" name="Clean_Request_Template" displayName="Clean_Request_Template" ref="B3:W153" totalsRowShown="0" headerRowDxfId="61" headerRowBorderDxfId="60" tableBorderDxfId="59" totalsRowBorderDxfId="58">
  <autoFilter ref="B3:W153" xr:uid="{C00A6907-BE54-447A-A7CB-529BF33DBEB6}"/>
  <tableColumns count="22">
    <tableColumn id="1" xr3:uid="{B35955A5-2CBA-4706-B8C6-20347087E747}" name="RequestID" dataDxfId="57"/>
    <tableColumn id="2" xr3:uid="{95472A1A-2C3C-490D-BFE1-47A7F3CC1EAF}" name="RequestDate" dataDxfId="56"/>
    <tableColumn id="3" xr3:uid="{4CECCE47-275E-4FB2-A328-81845366ABE5}" name="OfficeLocation" dataDxfId="55"/>
    <tableColumn id="4" xr3:uid="{D92B4452-BA62-4762-A7D1-95582C335AE0}" name="Department" dataDxfId="54"/>
    <tableColumn id="5" xr3:uid="{47EB9089-338D-4D52-B448-5A0EF93BA5C6}" name="RequestType" dataDxfId="53"/>
    <tableColumn id="6" xr3:uid="{5C1364EE-2DA7-4957-8E73-AA803157508D}" name="Category" dataDxfId="52"/>
    <tableColumn id="7" xr3:uid="{A81BE113-1C86-44B6-B397-4A667A9582C3}" name="Description" dataDxfId="51"/>
    <tableColumn id="8" xr3:uid="{151CF567-6340-4F06-A81E-D82AB5F4E0F5}" name="RequesterName" dataDxfId="50"/>
    <tableColumn id="9" xr3:uid="{0B28BD8B-EFFB-4DF7-A257-1098B2A4B71D}" name="ApproverName" dataDxfId="49"/>
    <tableColumn id="25" xr3:uid="{C6DC4798-E34A-4D1A-8694-BCD9028850DA}" name="VendorName" dataDxfId="48">
      <calculatedColumnFormula>_xlfn.XLOOKUP(Clean_Request_Template[[#This Row],[VendorID]],Vendors[VendorID],Vendors[VendorName],"Missing Vendor")</calculatedColumnFormula>
    </tableColumn>
    <tableColumn id="10" xr3:uid="{CD4DA028-0971-4698-B18C-E630712BCFBB}" name="VendorID" dataDxfId="47"/>
    <tableColumn id="24" xr3:uid="{1F30896B-3A78-426B-8F46-9FF839A48BD0}" name="Amount_USD" dataDxfId="46" dataCellStyle="Currency"/>
    <tableColumn id="12" xr3:uid="{4805933D-8560-4ED2-AA28-45A1A222A578}" name="Currency" dataDxfId="45"/>
    <tableColumn id="13" xr3:uid="{82638EC1-9726-478B-8BE9-8F2BF50DD584}" name="Priority" dataDxfId="44"/>
    <tableColumn id="14" xr3:uid="{7606A522-4E09-4C9A-8A9B-1767BD3A8EEC}" name="Status" dataDxfId="43"/>
    <tableColumn id="15" xr3:uid="{D5E3CBAB-43BD-449A-AACB-1D81E368431A}" name="RequiredBy" dataDxfId="42"/>
    <tableColumn id="16" xr3:uid="{EC98C578-97CD-4120-B9A2-CDB4869B6D27}" name="ApprovalDate" dataDxfId="41"/>
    <tableColumn id="17" xr3:uid="{13B6A8E4-E80A-4A92-AF0E-9C1AA35BAD86}" name="CompletionDate" dataDxfId="40"/>
    <tableColumn id="18" xr3:uid="{16C77DCC-C221-4B86-A4C5-7B428FEECFF3}" name="SLA_Target_Days" dataDxfId="39"/>
    <tableColumn id="19" xr3:uid="{0C8EE452-1D15-411F-A1AB-94CF5B2198CB}" name="Actual_Cycle_Days" dataDxfId="38"/>
    <tableColumn id="20" xr3:uid="{25E820D6-0F9A-4863-9F01-4D168398CEB8}" name="SLA_Met" dataDxfId="37"/>
    <tableColumn id="11" xr3:uid="{A29948F4-C1F9-40D4-8ED9-093872EB8CC4}" name="SLA_Pass" dataDxfId="36">
      <calculatedColumnFormula>IF(Clean_Request_Template[[#This Row],[SLA_Met]]="Yes",1,0)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D0F91-272F-4102-981D-2BFDA36F5523}" name="SLA_Targets" displayName="SLA_Targets" ref="B3:D8" totalsRowShown="0" headerRowDxfId="35" headerRowBorderDxfId="34" tableBorderDxfId="33" totalsRowBorderDxfId="32">
  <autoFilter ref="B3:D8" xr:uid="{495D0F91-272F-4102-981D-2BFDA36F5523}"/>
  <tableColumns count="3">
    <tableColumn id="1" xr3:uid="{8D94EE9D-9A1F-4B85-9BD6-3EFFB393542C}" name="RequestType" dataDxfId="31"/>
    <tableColumn id="2" xr3:uid="{31847331-8023-4C1E-909C-A05BAD01B775}" name="Category" dataDxfId="30"/>
    <tableColumn id="3" xr3:uid="{38F6C189-DF0E-4224-A507-DBB1100BC589}" name="SLA_Target_Days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8E65B3-E4D0-44CB-8707-21D4EF024D1B}" name="Status_Map" displayName="Status_Map" ref="B3:D8" totalsRowShown="0" headerRowDxfId="28" headerRowBorderDxfId="27" tableBorderDxfId="26" totalsRowBorderDxfId="25">
  <autoFilter ref="B3:D8" xr:uid="{518E65B3-E4D0-44CB-8707-21D4EF024D1B}"/>
  <tableColumns count="3">
    <tableColumn id="1" xr3:uid="{95A2B716-2F75-42B1-8F2B-8519BD7D0DAF}" name="Status" dataDxfId="24"/>
    <tableColumn id="2" xr3:uid="{E6335A5C-7F72-415C-B828-D6F7DF4405B5}" name="StatusOrder" dataDxfId="23"/>
    <tableColumn id="3" xr3:uid="{4C1E5565-6338-46FE-A537-52C72CFAE501}" name="IsClosed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9CE361-C3B1-4B28-AB0B-0B582238A63C}" name="Calender" displayName="Calender" ref="B3:D184" totalsRowShown="0" headerRowBorderDxfId="21" tableBorderDxfId="20" totalsRowBorderDxfId="19">
  <autoFilter ref="B3:D184" xr:uid="{669CE361-C3B1-4B28-AB0B-0B582238A63C}"/>
  <tableColumns count="3">
    <tableColumn id="1" xr3:uid="{37A9EDF6-A868-458C-847A-78DB6FB15BD0}" name="Date" dataDxfId="18"/>
    <tableColumn id="2" xr3:uid="{CF005A5C-DF38-4DF0-B527-C2886E8AA1BA}" name="Month" dataDxfId="17"/>
    <tableColumn id="3" xr3:uid="{A63944F5-302E-4A07-A03D-E2A25B52B2BE}" name="Year" dataDxfId="1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BC9E5-3224-4AE2-A3C9-63CC3D852B1B}" name="Vendors" displayName="Vendors" ref="B3:C6" totalsRowShown="0" headerRowDxfId="15" headerRowBorderDxfId="14" tableBorderDxfId="13" totalsRowBorderDxfId="12">
  <autoFilter ref="B3:C6" xr:uid="{D10BC9E5-3224-4AE2-A3C9-63CC3D852B1B}"/>
  <tableColumns count="2">
    <tableColumn id="1" xr3:uid="{A51196CA-B9DF-429E-8964-4B6FD7006E1B}" name="VendorID" dataDxfId="11"/>
    <tableColumn id="2" xr3:uid="{CE8CC703-8DFB-48BC-9D8D-1C00AF305311}" name="VendorName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8D290E-7220-4696-BC7E-3445FE6348D7}" name="Table6" displayName="Table6" ref="B3:D6" totalsRowShown="0" headerRowDxfId="9" headerRowBorderDxfId="8" tableBorderDxfId="7" totalsRowBorderDxfId="6">
  <autoFilter ref="B3:D6" xr:uid="{D38D290E-7220-4696-BC7E-3445FE6348D7}"/>
  <tableColumns count="3">
    <tableColumn id="1" xr3:uid="{4440E604-31A5-4FA3-9A7C-E8386AD219F5}" name="Name" dataDxfId="5"/>
    <tableColumn id="2" xr3:uid="{368F5985-9F53-43B7-9013-D4240DBF992A}" name="Department" dataDxfId="4"/>
    <tableColumn id="3" xr3:uid="{02051345-DED1-40CD-81BC-435822093968}" name="Location" dataDxfId="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022CA9-9835-43AE-B7BD-0BF71B21BD53}" name="Table11" displayName="Table11" ref="E1:F6" totalsRowShown="0">
  <autoFilter ref="E1:F6" xr:uid="{F0022CA9-9835-43AE-B7BD-0BF71B21BD53}"/>
  <tableColumns count="2">
    <tableColumn id="1" xr3:uid="{82EBF311-5680-42DE-9570-6EC33BB475BD}" name="before"/>
    <tableColumn id="2" xr3:uid="{4090B6E8-6964-4E41-9D97-891823742E20}" name="af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V153"/>
  <sheetViews>
    <sheetView showGridLines="0" zoomScaleNormal="100" workbookViewId="0">
      <selection activeCell="B3" sqref="B3"/>
    </sheetView>
  </sheetViews>
  <sheetFormatPr defaultRowHeight="14.4" x14ac:dyDescent="0.3"/>
  <cols>
    <col min="1" max="1" width="2.6640625" customWidth="1"/>
    <col min="2" max="2" width="14.109375" bestFit="1" customWidth="1"/>
    <col min="3" max="3" width="18.33203125" bestFit="1" customWidth="1"/>
    <col min="4" max="4" width="14" bestFit="1" customWidth="1"/>
    <col min="5" max="5" width="15.5546875" bestFit="1" customWidth="1"/>
    <col min="6" max="6" width="14.6640625" bestFit="1" customWidth="1"/>
    <col min="7" max="7" width="22" bestFit="1" customWidth="1"/>
    <col min="8" max="8" width="19.109375" bestFit="1" customWidth="1"/>
    <col min="9" max="9" width="15.5546875" bestFit="1" customWidth="1"/>
    <col min="10" max="10" width="14.6640625" bestFit="1" customWidth="1"/>
    <col min="11" max="11" width="9.44140625" bestFit="1" customWidth="1"/>
    <col min="12" max="12" width="8.109375" bestFit="1" customWidth="1"/>
    <col min="13" max="13" width="8.88671875" bestFit="1" customWidth="1"/>
    <col min="14" max="14" width="8.44140625" bestFit="1" customWidth="1"/>
    <col min="15" max="15" width="16.88671875" bestFit="1" customWidth="1"/>
    <col min="16" max="18" width="18.33203125" bestFit="1" customWidth="1"/>
    <col min="19" max="19" width="16" bestFit="1" customWidth="1"/>
    <col min="20" max="20" width="17.6640625" bestFit="1" customWidth="1"/>
    <col min="21" max="21" width="8.88671875" bestFit="1" customWidth="1"/>
    <col min="22" max="22" width="12.88671875" bestFit="1" customWidth="1"/>
  </cols>
  <sheetData>
    <row r="3" spans="2:22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</row>
    <row r="4" spans="2:22" x14ac:dyDescent="0.3">
      <c r="B4" s="1" t="s">
        <v>21</v>
      </c>
      <c r="C4" s="2">
        <v>46027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  <c r="P4" s="2">
        <v>46032</v>
      </c>
      <c r="Q4" s="2">
        <v>46028</v>
      </c>
      <c r="R4" s="2">
        <v>46029</v>
      </c>
      <c r="S4" s="1">
        <v>5</v>
      </c>
      <c r="T4" s="1">
        <v>3</v>
      </c>
      <c r="U4" s="1" t="s">
        <v>34</v>
      </c>
      <c r="V4" s="1">
        <v>5000</v>
      </c>
    </row>
    <row r="5" spans="2:22" x14ac:dyDescent="0.3">
      <c r="B5" s="1" t="s">
        <v>35</v>
      </c>
      <c r="C5" s="2">
        <v>46028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26</v>
      </c>
      <c r="I5" s="1" t="s">
        <v>40</v>
      </c>
      <c r="J5" s="1" t="s">
        <v>41</v>
      </c>
      <c r="K5" s="1"/>
      <c r="L5" s="1" t="s">
        <v>42</v>
      </c>
      <c r="M5" s="1" t="s">
        <v>31</v>
      </c>
      <c r="N5" s="1" t="s">
        <v>43</v>
      </c>
      <c r="O5" s="1" t="s">
        <v>44</v>
      </c>
      <c r="P5" s="2">
        <v>46033</v>
      </c>
      <c r="Q5" s="2">
        <v>46029</v>
      </c>
      <c r="R5" s="2">
        <v>46030</v>
      </c>
      <c r="S5" s="1">
        <v>8</v>
      </c>
      <c r="T5" s="1">
        <v>9</v>
      </c>
      <c r="U5" s="1" t="s">
        <v>45</v>
      </c>
      <c r="V5" s="1">
        <v>12000</v>
      </c>
    </row>
    <row r="6" spans="2:22" x14ac:dyDescent="0.3">
      <c r="B6" s="1" t="s">
        <v>46</v>
      </c>
      <c r="C6" s="2">
        <v>46029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26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31</v>
      </c>
      <c r="N6" s="1" t="s">
        <v>55</v>
      </c>
      <c r="O6" s="1" t="s">
        <v>56</v>
      </c>
      <c r="P6" s="2">
        <v>46034</v>
      </c>
      <c r="Q6" s="2">
        <v>46030</v>
      </c>
      <c r="R6" s="2">
        <v>46031</v>
      </c>
      <c r="S6" s="1">
        <v>10</v>
      </c>
      <c r="T6" s="1">
        <v>7</v>
      </c>
      <c r="U6" s="1" t="s">
        <v>34</v>
      </c>
      <c r="V6" s="1">
        <v>450</v>
      </c>
    </row>
    <row r="7" spans="2:22" x14ac:dyDescent="0.3">
      <c r="B7" s="1" t="s">
        <v>57</v>
      </c>
      <c r="C7" s="2">
        <v>46030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26</v>
      </c>
      <c r="I7" s="1" t="s">
        <v>62</v>
      </c>
      <c r="J7" s="1" t="s">
        <v>28</v>
      </c>
      <c r="K7" s="1" t="s">
        <v>63</v>
      </c>
      <c r="L7" s="1"/>
      <c r="M7" s="1" t="s">
        <v>31</v>
      </c>
      <c r="N7" s="1" t="s">
        <v>32</v>
      </c>
      <c r="O7" s="1" t="s">
        <v>33</v>
      </c>
      <c r="P7" s="2">
        <v>46035</v>
      </c>
      <c r="Q7" s="2">
        <v>46031</v>
      </c>
      <c r="R7" s="2">
        <v>46032</v>
      </c>
      <c r="S7" s="1">
        <v>3</v>
      </c>
      <c r="T7" s="1">
        <v>2</v>
      </c>
      <c r="U7" s="1" t="s">
        <v>34</v>
      </c>
      <c r="V7" s="1"/>
    </row>
    <row r="8" spans="2:22" x14ac:dyDescent="0.3">
      <c r="B8" s="1" t="s">
        <v>64</v>
      </c>
      <c r="C8" s="2">
        <v>46031</v>
      </c>
      <c r="D8" s="1" t="s">
        <v>22</v>
      </c>
      <c r="E8" s="1" t="s">
        <v>65</v>
      </c>
      <c r="F8" s="1" t="s">
        <v>66</v>
      </c>
      <c r="G8" s="1" t="s">
        <v>67</v>
      </c>
      <c r="H8" s="1" t="s">
        <v>26</v>
      </c>
      <c r="I8" s="1" t="s">
        <v>68</v>
      </c>
      <c r="J8" s="1" t="s">
        <v>41</v>
      </c>
      <c r="K8" s="1"/>
      <c r="L8" s="1" t="s">
        <v>69</v>
      </c>
      <c r="M8" s="1" t="s">
        <v>31</v>
      </c>
      <c r="N8" s="1" t="s">
        <v>32</v>
      </c>
      <c r="O8" s="1" t="s">
        <v>70</v>
      </c>
      <c r="P8" s="2">
        <v>46036</v>
      </c>
      <c r="Q8" s="2">
        <v>46032</v>
      </c>
      <c r="R8" s="2">
        <v>46033</v>
      </c>
      <c r="S8" s="1">
        <v>5</v>
      </c>
      <c r="T8" s="1">
        <v>4</v>
      </c>
      <c r="U8" s="1" t="s">
        <v>34</v>
      </c>
      <c r="V8" s="1">
        <v>8000</v>
      </c>
    </row>
    <row r="9" spans="2:22" x14ac:dyDescent="0.3">
      <c r="B9" s="1" t="s">
        <v>71</v>
      </c>
      <c r="C9" s="2">
        <v>46032</v>
      </c>
      <c r="D9" s="1" t="s">
        <v>36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72</v>
      </c>
      <c r="J9" s="1" t="s">
        <v>52</v>
      </c>
      <c r="K9" s="1" t="s">
        <v>29</v>
      </c>
      <c r="L9" s="1" t="s">
        <v>30</v>
      </c>
      <c r="M9" s="1" t="s">
        <v>31</v>
      </c>
      <c r="N9" s="1" t="s">
        <v>32</v>
      </c>
      <c r="O9" s="1" t="s">
        <v>33</v>
      </c>
      <c r="P9" s="2">
        <v>46037</v>
      </c>
      <c r="Q9" s="2">
        <v>46033</v>
      </c>
      <c r="R9" s="2">
        <v>46034</v>
      </c>
      <c r="S9" s="1">
        <v>5</v>
      </c>
      <c r="T9" s="1">
        <v>3</v>
      </c>
      <c r="U9" s="1" t="s">
        <v>34</v>
      </c>
      <c r="V9" s="1">
        <v>5000</v>
      </c>
    </row>
    <row r="10" spans="2:22" x14ac:dyDescent="0.3">
      <c r="B10" s="1" t="s">
        <v>73</v>
      </c>
      <c r="C10" s="2">
        <v>46033</v>
      </c>
      <c r="D10" s="1" t="s">
        <v>47</v>
      </c>
      <c r="E10" s="1" t="s">
        <v>37</v>
      </c>
      <c r="F10" s="1" t="s">
        <v>38</v>
      </c>
      <c r="G10" s="1" t="s">
        <v>39</v>
      </c>
      <c r="H10" s="1" t="s">
        <v>26</v>
      </c>
      <c r="I10" s="1" t="s">
        <v>74</v>
      </c>
      <c r="J10" s="1" t="s">
        <v>28</v>
      </c>
      <c r="K10" s="1"/>
      <c r="L10" s="1" t="s">
        <v>42</v>
      </c>
      <c r="M10" s="1" t="s">
        <v>31</v>
      </c>
      <c r="N10" s="1" t="s">
        <v>43</v>
      </c>
      <c r="O10" s="1" t="s">
        <v>44</v>
      </c>
      <c r="P10" s="2">
        <v>46038</v>
      </c>
      <c r="Q10" s="2">
        <v>46034</v>
      </c>
      <c r="R10" s="2">
        <v>46035</v>
      </c>
      <c r="S10" s="1">
        <v>8</v>
      </c>
      <c r="T10" s="1">
        <v>9</v>
      </c>
      <c r="U10" s="1" t="s">
        <v>45</v>
      </c>
      <c r="V10" s="1">
        <v>12000</v>
      </c>
    </row>
    <row r="11" spans="2:22" x14ac:dyDescent="0.3">
      <c r="B11" s="1" t="s">
        <v>75</v>
      </c>
      <c r="C11" s="2">
        <v>46034</v>
      </c>
      <c r="D11" s="1" t="s">
        <v>58</v>
      </c>
      <c r="E11" s="1" t="s">
        <v>48</v>
      </c>
      <c r="F11" s="1" t="s">
        <v>49</v>
      </c>
      <c r="G11" s="1" t="s">
        <v>50</v>
      </c>
      <c r="H11" s="1" t="s">
        <v>26</v>
      </c>
      <c r="I11" s="1" t="s">
        <v>76</v>
      </c>
      <c r="J11" s="1" t="s">
        <v>41</v>
      </c>
      <c r="K11" s="1" t="s">
        <v>53</v>
      </c>
      <c r="L11" s="1" t="s">
        <v>54</v>
      </c>
      <c r="M11" s="1" t="s">
        <v>31</v>
      </c>
      <c r="N11" s="1" t="s">
        <v>55</v>
      </c>
      <c r="O11" s="1" t="s">
        <v>56</v>
      </c>
      <c r="P11" s="2">
        <v>46039</v>
      </c>
      <c r="Q11" s="2">
        <v>46035</v>
      </c>
      <c r="R11" s="2">
        <v>46036</v>
      </c>
      <c r="S11" s="1">
        <v>10</v>
      </c>
      <c r="T11" s="1">
        <v>7</v>
      </c>
      <c r="U11" s="1" t="s">
        <v>34</v>
      </c>
      <c r="V11" s="1">
        <v>450</v>
      </c>
    </row>
    <row r="12" spans="2:22" x14ac:dyDescent="0.3">
      <c r="B12" s="1" t="s">
        <v>77</v>
      </c>
      <c r="C12" s="2">
        <v>46035</v>
      </c>
      <c r="D12" s="1" t="s">
        <v>22</v>
      </c>
      <c r="E12" s="1" t="s">
        <v>59</v>
      </c>
      <c r="F12" s="1" t="s">
        <v>60</v>
      </c>
      <c r="G12" s="1" t="s">
        <v>61</v>
      </c>
      <c r="H12" s="1" t="s">
        <v>26</v>
      </c>
      <c r="I12" s="1" t="s">
        <v>78</v>
      </c>
      <c r="J12" s="1" t="s">
        <v>52</v>
      </c>
      <c r="K12" s="1" t="s">
        <v>63</v>
      </c>
      <c r="L12" s="1"/>
      <c r="M12" s="1" t="s">
        <v>31</v>
      </c>
      <c r="N12" s="1" t="s">
        <v>32</v>
      </c>
      <c r="O12" s="1" t="s">
        <v>33</v>
      </c>
      <c r="P12" s="2">
        <v>46040</v>
      </c>
      <c r="Q12" s="2">
        <v>46036</v>
      </c>
      <c r="R12" s="2">
        <v>46037</v>
      </c>
      <c r="S12" s="1">
        <v>3</v>
      </c>
      <c r="T12" s="1">
        <v>2</v>
      </c>
      <c r="U12" s="1" t="s">
        <v>34</v>
      </c>
      <c r="V12" s="1"/>
    </row>
    <row r="13" spans="2:22" x14ac:dyDescent="0.3">
      <c r="B13" s="1" t="s">
        <v>79</v>
      </c>
      <c r="C13" s="2">
        <v>46036</v>
      </c>
      <c r="D13" s="1" t="s">
        <v>36</v>
      </c>
      <c r="E13" s="1" t="s">
        <v>65</v>
      </c>
      <c r="F13" s="1" t="s">
        <v>66</v>
      </c>
      <c r="G13" s="1" t="s">
        <v>67</v>
      </c>
      <c r="H13" s="1" t="s">
        <v>26</v>
      </c>
      <c r="I13" s="1" t="s">
        <v>80</v>
      </c>
      <c r="J13" s="1" t="s">
        <v>28</v>
      </c>
      <c r="K13" s="1"/>
      <c r="L13" s="1" t="s">
        <v>69</v>
      </c>
      <c r="M13" s="1" t="s">
        <v>31</v>
      </c>
      <c r="N13" s="1" t="s">
        <v>32</v>
      </c>
      <c r="O13" s="1" t="s">
        <v>70</v>
      </c>
      <c r="P13" s="2">
        <v>46041</v>
      </c>
      <c r="Q13" s="2">
        <v>46037</v>
      </c>
      <c r="R13" s="2">
        <v>46038</v>
      </c>
      <c r="S13" s="1">
        <v>5</v>
      </c>
      <c r="T13" s="1">
        <v>4</v>
      </c>
      <c r="U13" s="1" t="s">
        <v>34</v>
      </c>
      <c r="V13" s="1">
        <v>8000</v>
      </c>
    </row>
    <row r="14" spans="2:22" x14ac:dyDescent="0.3">
      <c r="B14" s="1" t="s">
        <v>81</v>
      </c>
      <c r="C14" s="2">
        <v>46037</v>
      </c>
      <c r="D14" s="1" t="s">
        <v>47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82</v>
      </c>
      <c r="J14" s="1" t="s">
        <v>41</v>
      </c>
      <c r="K14" s="1" t="s">
        <v>29</v>
      </c>
      <c r="L14" s="1" t="s">
        <v>30</v>
      </c>
      <c r="M14" s="1" t="s">
        <v>31</v>
      </c>
      <c r="N14" s="1" t="s">
        <v>32</v>
      </c>
      <c r="O14" s="1" t="s">
        <v>33</v>
      </c>
      <c r="P14" s="2">
        <v>46042</v>
      </c>
      <c r="Q14" s="2">
        <v>46038</v>
      </c>
      <c r="R14" s="2">
        <v>46039</v>
      </c>
      <c r="S14" s="1">
        <v>5</v>
      </c>
      <c r="T14" s="1">
        <v>3</v>
      </c>
      <c r="U14" s="1" t="s">
        <v>34</v>
      </c>
      <c r="V14" s="1">
        <v>5000</v>
      </c>
    </row>
    <row r="15" spans="2:22" x14ac:dyDescent="0.3">
      <c r="B15" s="1" t="s">
        <v>83</v>
      </c>
      <c r="C15" s="2">
        <v>46038</v>
      </c>
      <c r="D15" s="1" t="s">
        <v>58</v>
      </c>
      <c r="E15" s="1" t="s">
        <v>37</v>
      </c>
      <c r="F15" s="1" t="s">
        <v>38</v>
      </c>
      <c r="G15" s="1" t="s">
        <v>39</v>
      </c>
      <c r="H15" s="1" t="s">
        <v>26</v>
      </c>
      <c r="I15" s="1" t="s">
        <v>84</v>
      </c>
      <c r="J15" s="1" t="s">
        <v>52</v>
      </c>
      <c r="K15" s="1"/>
      <c r="L15" s="1" t="s">
        <v>42</v>
      </c>
      <c r="M15" s="1" t="s">
        <v>31</v>
      </c>
      <c r="N15" s="1" t="s">
        <v>43</v>
      </c>
      <c r="O15" s="1" t="s">
        <v>44</v>
      </c>
      <c r="P15" s="2">
        <v>46043</v>
      </c>
      <c r="Q15" s="2">
        <v>46039</v>
      </c>
      <c r="R15" s="2">
        <v>46040</v>
      </c>
      <c r="S15" s="1">
        <v>8</v>
      </c>
      <c r="T15" s="1">
        <v>9</v>
      </c>
      <c r="U15" s="1" t="s">
        <v>45</v>
      </c>
      <c r="V15" s="1">
        <v>12000</v>
      </c>
    </row>
    <row r="16" spans="2:22" x14ac:dyDescent="0.3">
      <c r="B16" s="1" t="s">
        <v>85</v>
      </c>
      <c r="C16" s="2">
        <v>46039</v>
      </c>
      <c r="D16" s="1" t="s">
        <v>22</v>
      </c>
      <c r="E16" s="1" t="s">
        <v>48</v>
      </c>
      <c r="F16" s="1" t="s">
        <v>49</v>
      </c>
      <c r="G16" s="1" t="s">
        <v>50</v>
      </c>
      <c r="H16" s="1" t="s">
        <v>26</v>
      </c>
      <c r="I16" s="1" t="s">
        <v>86</v>
      </c>
      <c r="J16" s="1" t="s">
        <v>28</v>
      </c>
      <c r="K16" s="1" t="s">
        <v>53</v>
      </c>
      <c r="L16" s="1" t="s">
        <v>54</v>
      </c>
      <c r="M16" s="1" t="s">
        <v>31</v>
      </c>
      <c r="N16" s="1" t="s">
        <v>55</v>
      </c>
      <c r="O16" s="1" t="s">
        <v>56</v>
      </c>
      <c r="P16" s="2">
        <v>46044</v>
      </c>
      <c r="Q16" s="2">
        <v>46040</v>
      </c>
      <c r="R16" s="2">
        <v>46041</v>
      </c>
      <c r="S16" s="1">
        <v>10</v>
      </c>
      <c r="T16" s="1">
        <v>7</v>
      </c>
      <c r="U16" s="1" t="s">
        <v>34</v>
      </c>
      <c r="V16" s="1">
        <v>450</v>
      </c>
    </row>
    <row r="17" spans="2:22" x14ac:dyDescent="0.3">
      <c r="B17" s="1" t="s">
        <v>87</v>
      </c>
      <c r="C17" s="2">
        <v>46040</v>
      </c>
      <c r="D17" s="1" t="s">
        <v>36</v>
      </c>
      <c r="E17" s="1" t="s">
        <v>59</v>
      </c>
      <c r="F17" s="1" t="s">
        <v>60</v>
      </c>
      <c r="G17" s="1" t="s">
        <v>61</v>
      </c>
      <c r="H17" s="1" t="s">
        <v>26</v>
      </c>
      <c r="I17" s="1" t="s">
        <v>88</v>
      </c>
      <c r="J17" s="1" t="s">
        <v>41</v>
      </c>
      <c r="K17" s="1" t="s">
        <v>63</v>
      </c>
      <c r="L17" s="1"/>
      <c r="M17" s="1" t="s">
        <v>31</v>
      </c>
      <c r="N17" s="1" t="s">
        <v>32</v>
      </c>
      <c r="O17" s="1" t="s">
        <v>33</v>
      </c>
      <c r="P17" s="2">
        <v>46045</v>
      </c>
      <c r="Q17" s="2">
        <v>46041</v>
      </c>
      <c r="R17" s="2">
        <v>46042</v>
      </c>
      <c r="S17" s="1">
        <v>3</v>
      </c>
      <c r="T17" s="1">
        <v>2</v>
      </c>
      <c r="U17" s="1" t="s">
        <v>34</v>
      </c>
      <c r="V17" s="1"/>
    </row>
    <row r="18" spans="2:22" x14ac:dyDescent="0.3">
      <c r="B18" s="1" t="s">
        <v>89</v>
      </c>
      <c r="C18" s="2">
        <v>46041</v>
      </c>
      <c r="D18" s="1" t="s">
        <v>47</v>
      </c>
      <c r="E18" s="1" t="s">
        <v>65</v>
      </c>
      <c r="F18" s="1" t="s">
        <v>66</v>
      </c>
      <c r="G18" s="1" t="s">
        <v>67</v>
      </c>
      <c r="H18" s="1" t="s">
        <v>26</v>
      </c>
      <c r="I18" s="1" t="s">
        <v>90</v>
      </c>
      <c r="J18" s="1" t="s">
        <v>52</v>
      </c>
      <c r="K18" s="1"/>
      <c r="L18" s="1" t="s">
        <v>69</v>
      </c>
      <c r="M18" s="1" t="s">
        <v>31</v>
      </c>
      <c r="N18" s="1" t="s">
        <v>32</v>
      </c>
      <c r="O18" s="1" t="s">
        <v>70</v>
      </c>
      <c r="P18" s="2">
        <v>46046</v>
      </c>
      <c r="Q18" s="2">
        <v>46042</v>
      </c>
      <c r="R18" s="2">
        <v>46043</v>
      </c>
      <c r="S18" s="1">
        <v>5</v>
      </c>
      <c r="T18" s="1">
        <v>4</v>
      </c>
      <c r="U18" s="1" t="s">
        <v>34</v>
      </c>
      <c r="V18" s="1">
        <v>8000</v>
      </c>
    </row>
    <row r="19" spans="2:22" x14ac:dyDescent="0.3">
      <c r="B19" s="1" t="s">
        <v>91</v>
      </c>
      <c r="C19" s="2">
        <v>46042</v>
      </c>
      <c r="D19" s="1" t="s">
        <v>58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92</v>
      </c>
      <c r="J19" s="1" t="s">
        <v>28</v>
      </c>
      <c r="K19" s="1" t="s">
        <v>29</v>
      </c>
      <c r="L19" s="1" t="s">
        <v>30</v>
      </c>
      <c r="M19" s="1" t="s">
        <v>31</v>
      </c>
      <c r="N19" s="1" t="s">
        <v>32</v>
      </c>
      <c r="O19" s="1" t="s">
        <v>33</v>
      </c>
      <c r="P19" s="2">
        <v>46047</v>
      </c>
      <c r="Q19" s="2">
        <v>46043</v>
      </c>
      <c r="R19" s="2">
        <v>46044</v>
      </c>
      <c r="S19" s="1">
        <v>5</v>
      </c>
      <c r="T19" s="1">
        <v>3</v>
      </c>
      <c r="U19" s="1" t="s">
        <v>34</v>
      </c>
      <c r="V19" s="1">
        <v>5000</v>
      </c>
    </row>
    <row r="20" spans="2:22" x14ac:dyDescent="0.3">
      <c r="B20" s="1" t="s">
        <v>93</v>
      </c>
      <c r="C20" s="2">
        <v>46043</v>
      </c>
      <c r="D20" s="1" t="s">
        <v>22</v>
      </c>
      <c r="E20" s="1" t="s">
        <v>37</v>
      </c>
      <c r="F20" s="1" t="s">
        <v>38</v>
      </c>
      <c r="G20" s="1" t="s">
        <v>39</v>
      </c>
      <c r="H20" s="1" t="s">
        <v>26</v>
      </c>
      <c r="I20" s="1" t="s">
        <v>94</v>
      </c>
      <c r="J20" s="1" t="s">
        <v>41</v>
      </c>
      <c r="K20" s="1"/>
      <c r="L20" s="1" t="s">
        <v>42</v>
      </c>
      <c r="M20" s="1" t="s">
        <v>31</v>
      </c>
      <c r="N20" s="1" t="s">
        <v>43</v>
      </c>
      <c r="O20" s="1" t="s">
        <v>44</v>
      </c>
      <c r="P20" s="2">
        <v>46048</v>
      </c>
      <c r="Q20" s="2">
        <v>46044</v>
      </c>
      <c r="R20" s="2">
        <v>46045</v>
      </c>
      <c r="S20" s="1">
        <v>8</v>
      </c>
      <c r="T20" s="1">
        <v>9</v>
      </c>
      <c r="U20" s="1" t="s">
        <v>45</v>
      </c>
      <c r="V20" s="1">
        <v>12000</v>
      </c>
    </row>
    <row r="21" spans="2:22" x14ac:dyDescent="0.3">
      <c r="B21" s="1" t="s">
        <v>95</v>
      </c>
      <c r="C21" s="2">
        <v>46044</v>
      </c>
      <c r="D21" s="1" t="s">
        <v>36</v>
      </c>
      <c r="E21" s="1" t="s">
        <v>48</v>
      </c>
      <c r="F21" s="1" t="s">
        <v>49</v>
      </c>
      <c r="G21" s="1" t="s">
        <v>50</v>
      </c>
      <c r="H21" s="1" t="s">
        <v>26</v>
      </c>
      <c r="I21" s="1" t="s">
        <v>96</v>
      </c>
      <c r="J21" s="1" t="s">
        <v>52</v>
      </c>
      <c r="K21" s="1" t="s">
        <v>53</v>
      </c>
      <c r="L21" s="1" t="s">
        <v>54</v>
      </c>
      <c r="M21" s="1" t="s">
        <v>31</v>
      </c>
      <c r="N21" s="1" t="s">
        <v>55</v>
      </c>
      <c r="O21" s="1" t="s">
        <v>56</v>
      </c>
      <c r="P21" s="2">
        <v>46049</v>
      </c>
      <c r="Q21" s="2">
        <v>46045</v>
      </c>
      <c r="R21" s="2">
        <v>46046</v>
      </c>
      <c r="S21" s="1">
        <v>10</v>
      </c>
      <c r="T21" s="1">
        <v>7</v>
      </c>
      <c r="U21" s="1" t="s">
        <v>34</v>
      </c>
      <c r="V21" s="1">
        <v>450</v>
      </c>
    </row>
    <row r="22" spans="2:22" x14ac:dyDescent="0.3">
      <c r="B22" s="1" t="s">
        <v>97</v>
      </c>
      <c r="C22" s="2">
        <v>46045</v>
      </c>
      <c r="D22" s="1" t="s">
        <v>47</v>
      </c>
      <c r="E22" s="1" t="s">
        <v>59</v>
      </c>
      <c r="F22" s="1" t="s">
        <v>60</v>
      </c>
      <c r="G22" s="1" t="s">
        <v>61</v>
      </c>
      <c r="H22" s="1" t="s">
        <v>26</v>
      </c>
      <c r="I22" s="1" t="s">
        <v>98</v>
      </c>
      <c r="J22" s="1" t="s">
        <v>28</v>
      </c>
      <c r="K22" s="1" t="s">
        <v>63</v>
      </c>
      <c r="L22" s="1"/>
      <c r="M22" s="1" t="s">
        <v>31</v>
      </c>
      <c r="N22" s="1" t="s">
        <v>32</v>
      </c>
      <c r="O22" s="1" t="s">
        <v>33</v>
      </c>
      <c r="P22" s="2">
        <v>46050</v>
      </c>
      <c r="Q22" s="2">
        <v>46046</v>
      </c>
      <c r="R22" s="2">
        <v>46047</v>
      </c>
      <c r="S22" s="1">
        <v>3</v>
      </c>
      <c r="T22" s="1">
        <v>2</v>
      </c>
      <c r="U22" s="1" t="s">
        <v>34</v>
      </c>
      <c r="V22" s="1"/>
    </row>
    <row r="23" spans="2:22" x14ac:dyDescent="0.3">
      <c r="B23" s="1" t="s">
        <v>99</v>
      </c>
      <c r="C23" s="2">
        <v>46046</v>
      </c>
      <c r="D23" s="1" t="s">
        <v>58</v>
      </c>
      <c r="E23" s="1" t="s">
        <v>65</v>
      </c>
      <c r="F23" s="1" t="s">
        <v>66</v>
      </c>
      <c r="G23" s="1" t="s">
        <v>67</v>
      </c>
      <c r="H23" s="1" t="s">
        <v>26</v>
      </c>
      <c r="I23" s="1" t="s">
        <v>100</v>
      </c>
      <c r="J23" s="1" t="s">
        <v>41</v>
      </c>
      <c r="K23" s="1"/>
      <c r="L23" s="1" t="s">
        <v>69</v>
      </c>
      <c r="M23" s="1" t="s">
        <v>31</v>
      </c>
      <c r="N23" s="1" t="s">
        <v>32</v>
      </c>
      <c r="O23" s="1" t="s">
        <v>70</v>
      </c>
      <c r="P23" s="2">
        <v>46051</v>
      </c>
      <c r="Q23" s="2">
        <v>46047</v>
      </c>
      <c r="R23" s="2">
        <v>46048</v>
      </c>
      <c r="S23" s="1">
        <v>5</v>
      </c>
      <c r="T23" s="1">
        <v>4</v>
      </c>
      <c r="U23" s="1" t="s">
        <v>34</v>
      </c>
      <c r="V23" s="1">
        <v>8000</v>
      </c>
    </row>
    <row r="24" spans="2:22" x14ac:dyDescent="0.3">
      <c r="B24" s="1" t="s">
        <v>101</v>
      </c>
      <c r="C24" s="2">
        <v>46047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102</v>
      </c>
      <c r="J24" s="1" t="s">
        <v>52</v>
      </c>
      <c r="K24" s="1" t="s">
        <v>29</v>
      </c>
      <c r="L24" s="1" t="s">
        <v>30</v>
      </c>
      <c r="M24" s="1" t="s">
        <v>31</v>
      </c>
      <c r="N24" s="1" t="s">
        <v>32</v>
      </c>
      <c r="O24" s="1" t="s">
        <v>33</v>
      </c>
      <c r="P24" s="2">
        <v>46052</v>
      </c>
      <c r="Q24" s="2">
        <v>46048</v>
      </c>
      <c r="R24" s="2">
        <v>46049</v>
      </c>
      <c r="S24" s="1">
        <v>5</v>
      </c>
      <c r="T24" s="1">
        <v>3</v>
      </c>
      <c r="U24" s="1" t="s">
        <v>34</v>
      </c>
      <c r="V24" s="1">
        <v>5000</v>
      </c>
    </row>
    <row r="25" spans="2:22" x14ac:dyDescent="0.3">
      <c r="B25" s="1" t="s">
        <v>103</v>
      </c>
      <c r="C25" s="2">
        <v>46048</v>
      </c>
      <c r="D25" s="1" t="s">
        <v>36</v>
      </c>
      <c r="E25" s="1" t="s">
        <v>37</v>
      </c>
      <c r="F25" s="1" t="s">
        <v>38</v>
      </c>
      <c r="G25" s="1" t="s">
        <v>39</v>
      </c>
      <c r="H25" s="1" t="s">
        <v>26</v>
      </c>
      <c r="I25" s="1" t="s">
        <v>104</v>
      </c>
      <c r="J25" s="1" t="s">
        <v>28</v>
      </c>
      <c r="K25" s="1"/>
      <c r="L25" s="1" t="s">
        <v>42</v>
      </c>
      <c r="M25" s="1" t="s">
        <v>31</v>
      </c>
      <c r="N25" s="1" t="s">
        <v>43</v>
      </c>
      <c r="O25" s="1" t="s">
        <v>44</v>
      </c>
      <c r="P25" s="2">
        <v>46053</v>
      </c>
      <c r="Q25" s="2">
        <v>46049</v>
      </c>
      <c r="R25" s="2">
        <v>46050</v>
      </c>
      <c r="S25" s="1">
        <v>8</v>
      </c>
      <c r="T25" s="1">
        <v>9</v>
      </c>
      <c r="U25" s="1" t="s">
        <v>45</v>
      </c>
      <c r="V25" s="1">
        <v>12000</v>
      </c>
    </row>
    <row r="26" spans="2:22" x14ac:dyDescent="0.3">
      <c r="B26" s="1" t="s">
        <v>105</v>
      </c>
      <c r="C26" s="2">
        <v>46049</v>
      </c>
      <c r="D26" s="1" t="s">
        <v>47</v>
      </c>
      <c r="E26" s="1" t="s">
        <v>48</v>
      </c>
      <c r="F26" s="1" t="s">
        <v>49</v>
      </c>
      <c r="G26" s="1" t="s">
        <v>50</v>
      </c>
      <c r="H26" s="1" t="s">
        <v>26</v>
      </c>
      <c r="I26" s="1" t="s">
        <v>106</v>
      </c>
      <c r="J26" s="1" t="s">
        <v>41</v>
      </c>
      <c r="K26" s="1" t="s">
        <v>53</v>
      </c>
      <c r="L26" s="1" t="s">
        <v>54</v>
      </c>
      <c r="M26" s="1" t="s">
        <v>31</v>
      </c>
      <c r="N26" s="1" t="s">
        <v>55</v>
      </c>
      <c r="O26" s="1" t="s">
        <v>56</v>
      </c>
      <c r="P26" s="2">
        <v>46054</v>
      </c>
      <c r="Q26" s="2">
        <v>46050</v>
      </c>
      <c r="R26" s="2">
        <v>46051</v>
      </c>
      <c r="S26" s="1">
        <v>10</v>
      </c>
      <c r="T26" s="1">
        <v>7</v>
      </c>
      <c r="U26" s="1" t="s">
        <v>34</v>
      </c>
      <c r="V26" s="1">
        <v>450</v>
      </c>
    </row>
    <row r="27" spans="2:22" x14ac:dyDescent="0.3">
      <c r="B27" s="1" t="s">
        <v>107</v>
      </c>
      <c r="C27" s="2">
        <v>46050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26</v>
      </c>
      <c r="I27" s="1" t="s">
        <v>108</v>
      </c>
      <c r="J27" s="1" t="s">
        <v>52</v>
      </c>
      <c r="K27" s="1" t="s">
        <v>63</v>
      </c>
      <c r="L27" s="1"/>
      <c r="M27" s="1" t="s">
        <v>31</v>
      </c>
      <c r="N27" s="1" t="s">
        <v>32</v>
      </c>
      <c r="O27" s="1" t="s">
        <v>33</v>
      </c>
      <c r="P27" s="2">
        <v>46055</v>
      </c>
      <c r="Q27" s="2">
        <v>46051</v>
      </c>
      <c r="R27" s="2">
        <v>46052</v>
      </c>
      <c r="S27" s="1">
        <v>3</v>
      </c>
      <c r="T27" s="1">
        <v>2</v>
      </c>
      <c r="U27" s="1" t="s">
        <v>34</v>
      </c>
      <c r="V27" s="1"/>
    </row>
    <row r="28" spans="2:22" x14ac:dyDescent="0.3">
      <c r="B28" s="1" t="s">
        <v>109</v>
      </c>
      <c r="C28" s="2">
        <v>46051</v>
      </c>
      <c r="D28" s="1" t="s">
        <v>22</v>
      </c>
      <c r="E28" s="1" t="s">
        <v>65</v>
      </c>
      <c r="F28" s="1" t="s">
        <v>66</v>
      </c>
      <c r="G28" s="1" t="s">
        <v>67</v>
      </c>
      <c r="H28" s="1" t="s">
        <v>26</v>
      </c>
      <c r="I28" s="1" t="s">
        <v>110</v>
      </c>
      <c r="J28" s="1" t="s">
        <v>28</v>
      </c>
      <c r="K28" s="1"/>
      <c r="L28" s="1" t="s">
        <v>69</v>
      </c>
      <c r="M28" s="1" t="s">
        <v>31</v>
      </c>
      <c r="N28" s="1" t="s">
        <v>32</v>
      </c>
      <c r="O28" s="1" t="s">
        <v>70</v>
      </c>
      <c r="P28" s="2">
        <v>46056</v>
      </c>
      <c r="Q28" s="2">
        <v>46052</v>
      </c>
      <c r="R28" s="2">
        <v>46053</v>
      </c>
      <c r="S28" s="1">
        <v>5</v>
      </c>
      <c r="T28" s="1">
        <v>4</v>
      </c>
      <c r="U28" s="1" t="s">
        <v>34</v>
      </c>
      <c r="V28" s="1">
        <v>8000</v>
      </c>
    </row>
    <row r="29" spans="2:22" x14ac:dyDescent="0.3">
      <c r="B29" s="1" t="s">
        <v>111</v>
      </c>
      <c r="C29" s="2">
        <v>46052</v>
      </c>
      <c r="D29" s="1" t="s">
        <v>36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112</v>
      </c>
      <c r="J29" s="1" t="s">
        <v>41</v>
      </c>
      <c r="K29" s="1" t="s">
        <v>29</v>
      </c>
      <c r="L29" s="1" t="s">
        <v>30</v>
      </c>
      <c r="M29" s="1" t="s">
        <v>31</v>
      </c>
      <c r="N29" s="1" t="s">
        <v>32</v>
      </c>
      <c r="O29" s="1" t="s">
        <v>33</v>
      </c>
      <c r="P29" s="2">
        <v>46057</v>
      </c>
      <c r="Q29" s="2">
        <v>46053</v>
      </c>
      <c r="R29" s="2">
        <v>46054</v>
      </c>
      <c r="S29" s="1">
        <v>5</v>
      </c>
      <c r="T29" s="1">
        <v>3</v>
      </c>
      <c r="U29" s="1" t="s">
        <v>34</v>
      </c>
      <c r="V29" s="1">
        <v>5000</v>
      </c>
    </row>
    <row r="30" spans="2:22" x14ac:dyDescent="0.3">
      <c r="B30" s="1" t="s">
        <v>113</v>
      </c>
      <c r="C30" s="2">
        <v>46053</v>
      </c>
      <c r="D30" s="1" t="s">
        <v>47</v>
      </c>
      <c r="E30" s="1" t="s">
        <v>37</v>
      </c>
      <c r="F30" s="1" t="s">
        <v>38</v>
      </c>
      <c r="G30" s="1" t="s">
        <v>39</v>
      </c>
      <c r="H30" s="1" t="s">
        <v>26</v>
      </c>
      <c r="I30" s="1" t="s">
        <v>114</v>
      </c>
      <c r="J30" s="1" t="s">
        <v>52</v>
      </c>
      <c r="K30" s="1"/>
      <c r="L30" s="1" t="s">
        <v>42</v>
      </c>
      <c r="M30" s="1" t="s">
        <v>31</v>
      </c>
      <c r="N30" s="1" t="s">
        <v>43</v>
      </c>
      <c r="O30" s="1" t="s">
        <v>44</v>
      </c>
      <c r="P30" s="2">
        <v>46058</v>
      </c>
      <c r="Q30" s="2">
        <v>46054</v>
      </c>
      <c r="R30" s="2">
        <v>46055</v>
      </c>
      <c r="S30" s="1">
        <v>8</v>
      </c>
      <c r="T30" s="1">
        <v>9</v>
      </c>
      <c r="U30" s="1" t="s">
        <v>45</v>
      </c>
      <c r="V30" s="1">
        <v>12000</v>
      </c>
    </row>
    <row r="31" spans="2:22" x14ac:dyDescent="0.3">
      <c r="B31" s="1" t="s">
        <v>115</v>
      </c>
      <c r="C31" s="2">
        <v>46054</v>
      </c>
      <c r="D31" s="1" t="s">
        <v>58</v>
      </c>
      <c r="E31" s="1" t="s">
        <v>48</v>
      </c>
      <c r="F31" s="1" t="s">
        <v>49</v>
      </c>
      <c r="G31" s="1" t="s">
        <v>50</v>
      </c>
      <c r="H31" s="1" t="s">
        <v>26</v>
      </c>
      <c r="I31" s="1" t="s">
        <v>116</v>
      </c>
      <c r="J31" s="1" t="s">
        <v>28</v>
      </c>
      <c r="K31" s="1" t="s">
        <v>53</v>
      </c>
      <c r="L31" s="1" t="s">
        <v>54</v>
      </c>
      <c r="M31" s="1" t="s">
        <v>31</v>
      </c>
      <c r="N31" s="1" t="s">
        <v>55</v>
      </c>
      <c r="O31" s="1" t="s">
        <v>56</v>
      </c>
      <c r="P31" s="2">
        <v>46059</v>
      </c>
      <c r="Q31" s="2">
        <v>46055</v>
      </c>
      <c r="R31" s="2">
        <v>46056</v>
      </c>
      <c r="S31" s="1">
        <v>10</v>
      </c>
      <c r="T31" s="1">
        <v>7</v>
      </c>
      <c r="U31" s="1" t="s">
        <v>34</v>
      </c>
      <c r="V31" s="1">
        <v>450</v>
      </c>
    </row>
    <row r="32" spans="2:22" x14ac:dyDescent="0.3">
      <c r="B32" s="1" t="s">
        <v>117</v>
      </c>
      <c r="C32" s="2">
        <v>46055</v>
      </c>
      <c r="D32" s="1" t="s">
        <v>22</v>
      </c>
      <c r="E32" s="1" t="s">
        <v>59</v>
      </c>
      <c r="F32" s="1" t="s">
        <v>60</v>
      </c>
      <c r="G32" s="1" t="s">
        <v>61</v>
      </c>
      <c r="H32" s="1" t="s">
        <v>26</v>
      </c>
      <c r="I32" s="1" t="s">
        <v>118</v>
      </c>
      <c r="J32" s="1" t="s">
        <v>41</v>
      </c>
      <c r="K32" s="1" t="s">
        <v>63</v>
      </c>
      <c r="L32" s="1"/>
      <c r="M32" s="1" t="s">
        <v>31</v>
      </c>
      <c r="N32" s="1" t="s">
        <v>32</v>
      </c>
      <c r="O32" s="1" t="s">
        <v>33</v>
      </c>
      <c r="P32" s="2">
        <v>46060</v>
      </c>
      <c r="Q32" s="2">
        <v>46056</v>
      </c>
      <c r="R32" s="2">
        <v>46057</v>
      </c>
      <c r="S32" s="1">
        <v>3</v>
      </c>
      <c r="T32" s="1">
        <v>2</v>
      </c>
      <c r="U32" s="1" t="s">
        <v>34</v>
      </c>
      <c r="V32" s="1"/>
    </row>
    <row r="33" spans="2:22" x14ac:dyDescent="0.3">
      <c r="B33" s="1" t="s">
        <v>119</v>
      </c>
      <c r="C33" s="2">
        <v>46056</v>
      </c>
      <c r="D33" s="1" t="s">
        <v>36</v>
      </c>
      <c r="E33" s="1" t="s">
        <v>65</v>
      </c>
      <c r="F33" s="1" t="s">
        <v>66</v>
      </c>
      <c r="G33" s="1" t="s">
        <v>67</v>
      </c>
      <c r="H33" s="1" t="s">
        <v>26</v>
      </c>
      <c r="I33" s="1" t="s">
        <v>120</v>
      </c>
      <c r="J33" s="1" t="s">
        <v>52</v>
      </c>
      <c r="K33" s="1"/>
      <c r="L33" s="1" t="s">
        <v>69</v>
      </c>
      <c r="M33" s="1" t="s">
        <v>31</v>
      </c>
      <c r="N33" s="1" t="s">
        <v>32</v>
      </c>
      <c r="O33" s="1" t="s">
        <v>70</v>
      </c>
      <c r="P33" s="2">
        <v>46061</v>
      </c>
      <c r="Q33" s="2">
        <v>46057</v>
      </c>
      <c r="R33" s="2">
        <v>46058</v>
      </c>
      <c r="S33" s="1">
        <v>5</v>
      </c>
      <c r="T33" s="1">
        <v>4</v>
      </c>
      <c r="U33" s="1" t="s">
        <v>34</v>
      </c>
      <c r="V33" s="1">
        <v>8000</v>
      </c>
    </row>
    <row r="34" spans="2:22" x14ac:dyDescent="0.3">
      <c r="B34" s="1" t="s">
        <v>121</v>
      </c>
      <c r="C34" s="2">
        <v>46057</v>
      </c>
      <c r="D34" s="1" t="s">
        <v>47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122</v>
      </c>
      <c r="J34" s="1" t="s">
        <v>28</v>
      </c>
      <c r="K34" s="1" t="s">
        <v>29</v>
      </c>
      <c r="L34" s="1" t="s">
        <v>30</v>
      </c>
      <c r="M34" s="1" t="s">
        <v>31</v>
      </c>
      <c r="N34" s="1" t="s">
        <v>32</v>
      </c>
      <c r="O34" s="1" t="s">
        <v>33</v>
      </c>
      <c r="P34" s="2">
        <v>46062</v>
      </c>
      <c r="Q34" s="2">
        <v>46058</v>
      </c>
      <c r="R34" s="2">
        <v>46059</v>
      </c>
      <c r="S34" s="1">
        <v>5</v>
      </c>
      <c r="T34" s="1">
        <v>3</v>
      </c>
      <c r="U34" s="1" t="s">
        <v>34</v>
      </c>
      <c r="V34" s="1">
        <v>5000</v>
      </c>
    </row>
    <row r="35" spans="2:22" x14ac:dyDescent="0.3">
      <c r="B35" s="1" t="s">
        <v>123</v>
      </c>
      <c r="C35" s="2">
        <v>46058</v>
      </c>
      <c r="D35" s="1" t="s">
        <v>58</v>
      </c>
      <c r="E35" s="1" t="s">
        <v>37</v>
      </c>
      <c r="F35" s="1" t="s">
        <v>38</v>
      </c>
      <c r="G35" s="1" t="s">
        <v>39</v>
      </c>
      <c r="H35" s="1" t="s">
        <v>26</v>
      </c>
      <c r="I35" s="1" t="s">
        <v>124</v>
      </c>
      <c r="J35" s="1" t="s">
        <v>41</v>
      </c>
      <c r="K35" s="1"/>
      <c r="L35" s="1" t="s">
        <v>42</v>
      </c>
      <c r="M35" s="1" t="s">
        <v>31</v>
      </c>
      <c r="N35" s="1" t="s">
        <v>43</v>
      </c>
      <c r="O35" s="1" t="s">
        <v>44</v>
      </c>
      <c r="P35" s="2">
        <v>46063</v>
      </c>
      <c r="Q35" s="2">
        <v>46059</v>
      </c>
      <c r="R35" s="2">
        <v>46060</v>
      </c>
      <c r="S35" s="1">
        <v>8</v>
      </c>
      <c r="T35" s="1">
        <v>9</v>
      </c>
      <c r="U35" s="1" t="s">
        <v>45</v>
      </c>
      <c r="V35" s="1">
        <v>12000</v>
      </c>
    </row>
    <row r="36" spans="2:22" x14ac:dyDescent="0.3">
      <c r="B36" s="1" t="s">
        <v>125</v>
      </c>
      <c r="C36" s="2">
        <v>46059</v>
      </c>
      <c r="D36" s="1" t="s">
        <v>22</v>
      </c>
      <c r="E36" s="1" t="s">
        <v>48</v>
      </c>
      <c r="F36" s="1" t="s">
        <v>49</v>
      </c>
      <c r="G36" s="1" t="s">
        <v>50</v>
      </c>
      <c r="H36" s="1" t="s">
        <v>26</v>
      </c>
      <c r="I36" s="1" t="s">
        <v>126</v>
      </c>
      <c r="J36" s="1" t="s">
        <v>52</v>
      </c>
      <c r="K36" s="1" t="s">
        <v>53</v>
      </c>
      <c r="L36" s="1" t="s">
        <v>54</v>
      </c>
      <c r="M36" s="1" t="s">
        <v>31</v>
      </c>
      <c r="N36" s="1" t="s">
        <v>55</v>
      </c>
      <c r="O36" s="1" t="s">
        <v>56</v>
      </c>
      <c r="P36" s="2">
        <v>46064</v>
      </c>
      <c r="Q36" s="2">
        <v>46060</v>
      </c>
      <c r="R36" s="2">
        <v>46061</v>
      </c>
      <c r="S36" s="1">
        <v>10</v>
      </c>
      <c r="T36" s="1">
        <v>7</v>
      </c>
      <c r="U36" s="1" t="s">
        <v>34</v>
      </c>
      <c r="V36" s="1">
        <v>450</v>
      </c>
    </row>
    <row r="37" spans="2:22" x14ac:dyDescent="0.3">
      <c r="B37" s="1" t="s">
        <v>127</v>
      </c>
      <c r="C37" s="2">
        <v>46060</v>
      </c>
      <c r="D37" s="1" t="s">
        <v>36</v>
      </c>
      <c r="E37" s="1" t="s">
        <v>59</v>
      </c>
      <c r="F37" s="1" t="s">
        <v>60</v>
      </c>
      <c r="G37" s="1" t="s">
        <v>61</v>
      </c>
      <c r="H37" s="1" t="s">
        <v>26</v>
      </c>
      <c r="I37" s="1" t="s">
        <v>128</v>
      </c>
      <c r="J37" s="1" t="s">
        <v>28</v>
      </c>
      <c r="K37" s="1" t="s">
        <v>63</v>
      </c>
      <c r="L37" s="1"/>
      <c r="M37" s="1" t="s">
        <v>31</v>
      </c>
      <c r="N37" s="1" t="s">
        <v>32</v>
      </c>
      <c r="O37" s="1" t="s">
        <v>33</v>
      </c>
      <c r="P37" s="2">
        <v>46065</v>
      </c>
      <c r="Q37" s="2">
        <v>46061</v>
      </c>
      <c r="R37" s="2">
        <v>46062</v>
      </c>
      <c r="S37" s="1">
        <v>3</v>
      </c>
      <c r="T37" s="1">
        <v>2</v>
      </c>
      <c r="U37" s="1" t="s">
        <v>34</v>
      </c>
      <c r="V37" s="1"/>
    </row>
    <row r="38" spans="2:22" x14ac:dyDescent="0.3">
      <c r="B38" s="1" t="s">
        <v>129</v>
      </c>
      <c r="C38" s="2">
        <v>46061</v>
      </c>
      <c r="D38" s="1" t="s">
        <v>47</v>
      </c>
      <c r="E38" s="1" t="s">
        <v>65</v>
      </c>
      <c r="F38" s="1" t="s">
        <v>66</v>
      </c>
      <c r="G38" s="1" t="s">
        <v>67</v>
      </c>
      <c r="H38" s="1" t="s">
        <v>26</v>
      </c>
      <c r="I38" s="1" t="s">
        <v>130</v>
      </c>
      <c r="J38" s="1" t="s">
        <v>41</v>
      </c>
      <c r="K38" s="1"/>
      <c r="L38" s="1" t="s">
        <v>69</v>
      </c>
      <c r="M38" s="1" t="s">
        <v>31</v>
      </c>
      <c r="N38" s="1" t="s">
        <v>32</v>
      </c>
      <c r="O38" s="1" t="s">
        <v>70</v>
      </c>
      <c r="P38" s="2">
        <v>46066</v>
      </c>
      <c r="Q38" s="2">
        <v>46062</v>
      </c>
      <c r="R38" s="2">
        <v>46063</v>
      </c>
      <c r="S38" s="1">
        <v>5</v>
      </c>
      <c r="T38" s="1">
        <v>4</v>
      </c>
      <c r="U38" s="1" t="s">
        <v>34</v>
      </c>
      <c r="V38" s="1">
        <v>8000</v>
      </c>
    </row>
    <row r="39" spans="2:22" x14ac:dyDescent="0.3">
      <c r="B39" s="1" t="s">
        <v>131</v>
      </c>
      <c r="C39" s="2">
        <v>46062</v>
      </c>
      <c r="D39" s="1" t="s">
        <v>58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132</v>
      </c>
      <c r="J39" s="1" t="s">
        <v>52</v>
      </c>
      <c r="K39" s="1" t="s">
        <v>29</v>
      </c>
      <c r="L39" s="1" t="s">
        <v>30</v>
      </c>
      <c r="M39" s="1" t="s">
        <v>31</v>
      </c>
      <c r="N39" s="1" t="s">
        <v>32</v>
      </c>
      <c r="O39" s="1" t="s">
        <v>33</v>
      </c>
      <c r="P39" s="2">
        <v>46067</v>
      </c>
      <c r="Q39" s="2">
        <v>46063</v>
      </c>
      <c r="R39" s="2">
        <v>46064</v>
      </c>
      <c r="S39" s="1">
        <v>5</v>
      </c>
      <c r="T39" s="1">
        <v>3</v>
      </c>
      <c r="U39" s="1" t="s">
        <v>34</v>
      </c>
      <c r="V39" s="1">
        <v>5000</v>
      </c>
    </row>
    <row r="40" spans="2:22" x14ac:dyDescent="0.3">
      <c r="B40" s="1" t="s">
        <v>133</v>
      </c>
      <c r="C40" s="2">
        <v>46063</v>
      </c>
      <c r="D40" s="1" t="s">
        <v>22</v>
      </c>
      <c r="E40" s="1" t="s">
        <v>37</v>
      </c>
      <c r="F40" s="1" t="s">
        <v>38</v>
      </c>
      <c r="G40" s="1" t="s">
        <v>39</v>
      </c>
      <c r="H40" s="1" t="s">
        <v>26</v>
      </c>
      <c r="I40" s="1" t="s">
        <v>134</v>
      </c>
      <c r="J40" s="1" t="s">
        <v>28</v>
      </c>
      <c r="K40" s="1"/>
      <c r="L40" s="1" t="s">
        <v>42</v>
      </c>
      <c r="M40" s="1" t="s">
        <v>31</v>
      </c>
      <c r="N40" s="1" t="s">
        <v>43</v>
      </c>
      <c r="O40" s="1" t="s">
        <v>44</v>
      </c>
      <c r="P40" s="2">
        <v>46068</v>
      </c>
      <c r="Q40" s="2">
        <v>46064</v>
      </c>
      <c r="R40" s="2">
        <v>46065</v>
      </c>
      <c r="S40" s="1">
        <v>8</v>
      </c>
      <c r="T40" s="1">
        <v>9</v>
      </c>
      <c r="U40" s="1" t="s">
        <v>45</v>
      </c>
      <c r="V40" s="1">
        <v>12000</v>
      </c>
    </row>
    <row r="41" spans="2:22" x14ac:dyDescent="0.3">
      <c r="B41" s="1" t="s">
        <v>135</v>
      </c>
      <c r="C41" s="2">
        <v>46064</v>
      </c>
      <c r="D41" s="1" t="s">
        <v>36</v>
      </c>
      <c r="E41" s="1" t="s">
        <v>48</v>
      </c>
      <c r="F41" s="1" t="s">
        <v>49</v>
      </c>
      <c r="G41" s="1" t="s">
        <v>50</v>
      </c>
      <c r="H41" s="1" t="s">
        <v>26</v>
      </c>
      <c r="I41" s="1" t="s">
        <v>136</v>
      </c>
      <c r="J41" s="1" t="s">
        <v>41</v>
      </c>
      <c r="K41" s="1" t="s">
        <v>53</v>
      </c>
      <c r="L41" s="1" t="s">
        <v>54</v>
      </c>
      <c r="M41" s="1" t="s">
        <v>31</v>
      </c>
      <c r="N41" s="1" t="s">
        <v>55</v>
      </c>
      <c r="O41" s="1" t="s">
        <v>56</v>
      </c>
      <c r="P41" s="2">
        <v>46069</v>
      </c>
      <c r="Q41" s="2">
        <v>46065</v>
      </c>
      <c r="R41" s="2">
        <v>46066</v>
      </c>
      <c r="S41" s="1">
        <v>10</v>
      </c>
      <c r="T41" s="1">
        <v>7</v>
      </c>
      <c r="U41" s="1" t="s">
        <v>34</v>
      </c>
      <c r="V41" s="1">
        <v>450</v>
      </c>
    </row>
    <row r="42" spans="2:22" x14ac:dyDescent="0.3">
      <c r="B42" s="1" t="s">
        <v>137</v>
      </c>
      <c r="C42" s="2">
        <v>46065</v>
      </c>
      <c r="D42" s="1" t="s">
        <v>47</v>
      </c>
      <c r="E42" s="1" t="s">
        <v>59</v>
      </c>
      <c r="F42" s="1" t="s">
        <v>60</v>
      </c>
      <c r="G42" s="1" t="s">
        <v>61</v>
      </c>
      <c r="H42" s="1" t="s">
        <v>26</v>
      </c>
      <c r="I42" s="1" t="s">
        <v>138</v>
      </c>
      <c r="J42" s="1" t="s">
        <v>52</v>
      </c>
      <c r="K42" s="1" t="s">
        <v>63</v>
      </c>
      <c r="L42" s="1"/>
      <c r="M42" s="1" t="s">
        <v>31</v>
      </c>
      <c r="N42" s="1" t="s">
        <v>32</v>
      </c>
      <c r="O42" s="1" t="s">
        <v>33</v>
      </c>
      <c r="P42" s="2">
        <v>46070</v>
      </c>
      <c r="Q42" s="2">
        <v>46066</v>
      </c>
      <c r="R42" s="2">
        <v>46067</v>
      </c>
      <c r="S42" s="1">
        <v>3</v>
      </c>
      <c r="T42" s="1">
        <v>2</v>
      </c>
      <c r="U42" s="1" t="s">
        <v>34</v>
      </c>
      <c r="V42" s="1"/>
    </row>
    <row r="43" spans="2:22" x14ac:dyDescent="0.3">
      <c r="B43" s="1" t="s">
        <v>139</v>
      </c>
      <c r="C43" s="2">
        <v>46066</v>
      </c>
      <c r="D43" s="1" t="s">
        <v>58</v>
      </c>
      <c r="E43" s="1" t="s">
        <v>65</v>
      </c>
      <c r="F43" s="1" t="s">
        <v>66</v>
      </c>
      <c r="G43" s="1" t="s">
        <v>67</v>
      </c>
      <c r="H43" s="1" t="s">
        <v>26</v>
      </c>
      <c r="I43" s="1" t="s">
        <v>140</v>
      </c>
      <c r="J43" s="1" t="s">
        <v>28</v>
      </c>
      <c r="K43" s="1"/>
      <c r="L43" s="1" t="s">
        <v>69</v>
      </c>
      <c r="M43" s="1" t="s">
        <v>31</v>
      </c>
      <c r="N43" s="1" t="s">
        <v>32</v>
      </c>
      <c r="O43" s="1" t="s">
        <v>70</v>
      </c>
      <c r="P43" s="2">
        <v>46071</v>
      </c>
      <c r="Q43" s="2">
        <v>46067</v>
      </c>
      <c r="R43" s="2">
        <v>46068</v>
      </c>
      <c r="S43" s="1">
        <v>5</v>
      </c>
      <c r="T43" s="1">
        <v>4</v>
      </c>
      <c r="U43" s="1" t="s">
        <v>34</v>
      </c>
      <c r="V43" s="1">
        <v>8000</v>
      </c>
    </row>
    <row r="44" spans="2:22" x14ac:dyDescent="0.3">
      <c r="B44" s="1" t="s">
        <v>141</v>
      </c>
      <c r="C44" s="2">
        <v>46067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142</v>
      </c>
      <c r="J44" s="1" t="s">
        <v>41</v>
      </c>
      <c r="K44" s="1" t="s">
        <v>29</v>
      </c>
      <c r="L44" s="1" t="s">
        <v>30</v>
      </c>
      <c r="M44" s="1" t="s">
        <v>31</v>
      </c>
      <c r="N44" s="1" t="s">
        <v>32</v>
      </c>
      <c r="O44" s="1" t="s">
        <v>33</v>
      </c>
      <c r="P44" s="2">
        <v>46072</v>
      </c>
      <c r="Q44" s="2">
        <v>46068</v>
      </c>
      <c r="R44" s="2">
        <v>46069</v>
      </c>
      <c r="S44" s="1">
        <v>5</v>
      </c>
      <c r="T44" s="1">
        <v>3</v>
      </c>
      <c r="U44" s="1" t="s">
        <v>34</v>
      </c>
      <c r="V44" s="1">
        <v>5000</v>
      </c>
    </row>
    <row r="45" spans="2:22" x14ac:dyDescent="0.3">
      <c r="B45" s="1" t="s">
        <v>143</v>
      </c>
      <c r="C45" s="2">
        <v>46068</v>
      </c>
      <c r="D45" s="1" t="s">
        <v>36</v>
      </c>
      <c r="E45" s="1" t="s">
        <v>37</v>
      </c>
      <c r="F45" s="1" t="s">
        <v>38</v>
      </c>
      <c r="G45" s="1" t="s">
        <v>39</v>
      </c>
      <c r="H45" s="1" t="s">
        <v>26</v>
      </c>
      <c r="I45" s="1" t="s">
        <v>144</v>
      </c>
      <c r="J45" s="1" t="s">
        <v>52</v>
      </c>
      <c r="K45" s="1"/>
      <c r="L45" s="1" t="s">
        <v>42</v>
      </c>
      <c r="M45" s="1" t="s">
        <v>31</v>
      </c>
      <c r="N45" s="1" t="s">
        <v>43</v>
      </c>
      <c r="O45" s="1" t="s">
        <v>44</v>
      </c>
      <c r="P45" s="2">
        <v>46073</v>
      </c>
      <c r="Q45" s="2">
        <v>46069</v>
      </c>
      <c r="R45" s="2">
        <v>46070</v>
      </c>
      <c r="S45" s="1">
        <v>8</v>
      </c>
      <c r="T45" s="1">
        <v>9</v>
      </c>
      <c r="U45" s="1" t="s">
        <v>45</v>
      </c>
      <c r="V45" s="1">
        <v>12000</v>
      </c>
    </row>
    <row r="46" spans="2:22" x14ac:dyDescent="0.3">
      <c r="B46" s="1" t="s">
        <v>145</v>
      </c>
      <c r="C46" s="2">
        <v>46069</v>
      </c>
      <c r="D46" s="1" t="s">
        <v>47</v>
      </c>
      <c r="E46" s="1" t="s">
        <v>48</v>
      </c>
      <c r="F46" s="1" t="s">
        <v>49</v>
      </c>
      <c r="G46" s="1" t="s">
        <v>50</v>
      </c>
      <c r="H46" s="1" t="s">
        <v>26</v>
      </c>
      <c r="I46" s="1" t="s">
        <v>146</v>
      </c>
      <c r="J46" s="1" t="s">
        <v>28</v>
      </c>
      <c r="K46" s="1" t="s">
        <v>53</v>
      </c>
      <c r="L46" s="1" t="s">
        <v>54</v>
      </c>
      <c r="M46" s="1" t="s">
        <v>31</v>
      </c>
      <c r="N46" s="1" t="s">
        <v>55</v>
      </c>
      <c r="O46" s="1" t="s">
        <v>56</v>
      </c>
      <c r="P46" s="2">
        <v>46074</v>
      </c>
      <c r="Q46" s="2">
        <v>46070</v>
      </c>
      <c r="R46" s="2">
        <v>46071</v>
      </c>
      <c r="S46" s="1">
        <v>10</v>
      </c>
      <c r="T46" s="1">
        <v>7</v>
      </c>
      <c r="U46" s="1" t="s">
        <v>34</v>
      </c>
      <c r="V46" s="1">
        <v>450</v>
      </c>
    </row>
    <row r="47" spans="2:22" x14ac:dyDescent="0.3">
      <c r="B47" s="1" t="s">
        <v>147</v>
      </c>
      <c r="C47" s="2">
        <v>46070</v>
      </c>
      <c r="D47" s="1" t="s">
        <v>58</v>
      </c>
      <c r="E47" s="1" t="s">
        <v>59</v>
      </c>
      <c r="F47" s="1" t="s">
        <v>60</v>
      </c>
      <c r="G47" s="1" t="s">
        <v>61</v>
      </c>
      <c r="H47" s="1" t="s">
        <v>26</v>
      </c>
      <c r="I47" s="1" t="s">
        <v>148</v>
      </c>
      <c r="J47" s="1" t="s">
        <v>41</v>
      </c>
      <c r="K47" s="1" t="s">
        <v>63</v>
      </c>
      <c r="L47" s="1"/>
      <c r="M47" s="1" t="s">
        <v>31</v>
      </c>
      <c r="N47" s="1" t="s">
        <v>32</v>
      </c>
      <c r="O47" s="1" t="s">
        <v>33</v>
      </c>
      <c r="P47" s="2">
        <v>46075</v>
      </c>
      <c r="Q47" s="2">
        <v>46071</v>
      </c>
      <c r="R47" s="2">
        <v>46072</v>
      </c>
      <c r="S47" s="1">
        <v>3</v>
      </c>
      <c r="T47" s="1">
        <v>2</v>
      </c>
      <c r="U47" s="1" t="s">
        <v>34</v>
      </c>
      <c r="V47" s="1"/>
    </row>
    <row r="48" spans="2:22" x14ac:dyDescent="0.3">
      <c r="B48" s="1" t="s">
        <v>149</v>
      </c>
      <c r="C48" s="2">
        <v>46071</v>
      </c>
      <c r="D48" s="1" t="s">
        <v>22</v>
      </c>
      <c r="E48" s="1" t="s">
        <v>65</v>
      </c>
      <c r="F48" s="1" t="s">
        <v>66</v>
      </c>
      <c r="G48" s="1" t="s">
        <v>67</v>
      </c>
      <c r="H48" s="1" t="s">
        <v>26</v>
      </c>
      <c r="I48" s="1" t="s">
        <v>150</v>
      </c>
      <c r="J48" s="1" t="s">
        <v>52</v>
      </c>
      <c r="K48" s="1"/>
      <c r="L48" s="1" t="s">
        <v>69</v>
      </c>
      <c r="M48" s="1" t="s">
        <v>31</v>
      </c>
      <c r="N48" s="1" t="s">
        <v>32</v>
      </c>
      <c r="O48" s="1" t="s">
        <v>70</v>
      </c>
      <c r="P48" s="2">
        <v>46076</v>
      </c>
      <c r="Q48" s="2">
        <v>46072</v>
      </c>
      <c r="R48" s="2">
        <v>46073</v>
      </c>
      <c r="S48" s="1">
        <v>5</v>
      </c>
      <c r="T48" s="1">
        <v>4</v>
      </c>
      <c r="U48" s="1" t="s">
        <v>34</v>
      </c>
      <c r="V48" s="1">
        <v>8000</v>
      </c>
    </row>
    <row r="49" spans="2:22" x14ac:dyDescent="0.3">
      <c r="B49" s="1" t="s">
        <v>151</v>
      </c>
      <c r="C49" s="2">
        <v>46072</v>
      </c>
      <c r="D49" s="1" t="s">
        <v>36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152</v>
      </c>
      <c r="J49" s="1" t="s">
        <v>28</v>
      </c>
      <c r="K49" s="1" t="s">
        <v>29</v>
      </c>
      <c r="L49" s="1" t="s">
        <v>30</v>
      </c>
      <c r="M49" s="1" t="s">
        <v>31</v>
      </c>
      <c r="N49" s="1" t="s">
        <v>32</v>
      </c>
      <c r="O49" s="1" t="s">
        <v>33</v>
      </c>
      <c r="P49" s="2">
        <v>46077</v>
      </c>
      <c r="Q49" s="2">
        <v>46073</v>
      </c>
      <c r="R49" s="2">
        <v>46074</v>
      </c>
      <c r="S49" s="1">
        <v>5</v>
      </c>
      <c r="T49" s="1">
        <v>3</v>
      </c>
      <c r="U49" s="1" t="s">
        <v>34</v>
      </c>
      <c r="V49" s="1">
        <v>5000</v>
      </c>
    </row>
    <row r="50" spans="2:22" x14ac:dyDescent="0.3">
      <c r="B50" s="1" t="s">
        <v>153</v>
      </c>
      <c r="C50" s="2">
        <v>46073</v>
      </c>
      <c r="D50" s="1" t="s">
        <v>47</v>
      </c>
      <c r="E50" s="1" t="s">
        <v>37</v>
      </c>
      <c r="F50" s="1" t="s">
        <v>38</v>
      </c>
      <c r="G50" s="1" t="s">
        <v>39</v>
      </c>
      <c r="H50" s="1" t="s">
        <v>26</v>
      </c>
      <c r="I50" s="1" t="s">
        <v>154</v>
      </c>
      <c r="J50" s="1" t="s">
        <v>41</v>
      </c>
      <c r="K50" s="1"/>
      <c r="L50" s="1" t="s">
        <v>42</v>
      </c>
      <c r="M50" s="1" t="s">
        <v>31</v>
      </c>
      <c r="N50" s="1" t="s">
        <v>43</v>
      </c>
      <c r="O50" s="1" t="s">
        <v>44</v>
      </c>
      <c r="P50" s="2">
        <v>46078</v>
      </c>
      <c r="Q50" s="2">
        <v>46074</v>
      </c>
      <c r="R50" s="2">
        <v>46075</v>
      </c>
      <c r="S50" s="1">
        <v>8</v>
      </c>
      <c r="T50" s="1">
        <v>9</v>
      </c>
      <c r="U50" s="1" t="s">
        <v>45</v>
      </c>
      <c r="V50" s="1">
        <v>12000</v>
      </c>
    </row>
    <row r="51" spans="2:22" x14ac:dyDescent="0.3">
      <c r="B51" s="1" t="s">
        <v>155</v>
      </c>
      <c r="C51" s="2">
        <v>46074</v>
      </c>
      <c r="D51" s="1" t="s">
        <v>58</v>
      </c>
      <c r="E51" s="1" t="s">
        <v>48</v>
      </c>
      <c r="F51" s="1" t="s">
        <v>49</v>
      </c>
      <c r="G51" s="1" t="s">
        <v>50</v>
      </c>
      <c r="H51" s="1" t="s">
        <v>26</v>
      </c>
      <c r="I51" s="1" t="s">
        <v>156</v>
      </c>
      <c r="J51" s="1" t="s">
        <v>52</v>
      </c>
      <c r="K51" s="1" t="s">
        <v>53</v>
      </c>
      <c r="L51" s="1" t="s">
        <v>54</v>
      </c>
      <c r="M51" s="1" t="s">
        <v>31</v>
      </c>
      <c r="N51" s="1" t="s">
        <v>55</v>
      </c>
      <c r="O51" s="1" t="s">
        <v>56</v>
      </c>
      <c r="P51" s="2">
        <v>46079</v>
      </c>
      <c r="Q51" s="2">
        <v>46075</v>
      </c>
      <c r="R51" s="2">
        <v>46076</v>
      </c>
      <c r="S51" s="1">
        <v>10</v>
      </c>
      <c r="T51" s="1">
        <v>7</v>
      </c>
      <c r="U51" s="1" t="s">
        <v>34</v>
      </c>
      <c r="V51" s="1">
        <v>450</v>
      </c>
    </row>
    <row r="52" spans="2:22" x14ac:dyDescent="0.3">
      <c r="B52" s="1" t="s">
        <v>157</v>
      </c>
      <c r="C52" s="2">
        <v>46075</v>
      </c>
      <c r="D52" s="1" t="s">
        <v>22</v>
      </c>
      <c r="E52" s="1" t="s">
        <v>59</v>
      </c>
      <c r="F52" s="1" t="s">
        <v>60</v>
      </c>
      <c r="G52" s="1" t="s">
        <v>61</v>
      </c>
      <c r="H52" s="1" t="s">
        <v>26</v>
      </c>
      <c r="I52" s="1" t="s">
        <v>158</v>
      </c>
      <c r="J52" s="1" t="s">
        <v>28</v>
      </c>
      <c r="K52" s="1" t="s">
        <v>63</v>
      </c>
      <c r="L52" s="1"/>
      <c r="M52" s="1" t="s">
        <v>31</v>
      </c>
      <c r="N52" s="1" t="s">
        <v>32</v>
      </c>
      <c r="O52" s="1" t="s">
        <v>33</v>
      </c>
      <c r="P52" s="2">
        <v>46080</v>
      </c>
      <c r="Q52" s="2">
        <v>46076</v>
      </c>
      <c r="R52" s="2">
        <v>46077</v>
      </c>
      <c r="S52" s="1">
        <v>3</v>
      </c>
      <c r="T52" s="1">
        <v>2</v>
      </c>
      <c r="U52" s="1" t="s">
        <v>34</v>
      </c>
      <c r="V52" s="1"/>
    </row>
    <row r="53" spans="2:22" x14ac:dyDescent="0.3">
      <c r="B53" s="1" t="s">
        <v>159</v>
      </c>
      <c r="C53" s="2">
        <v>46076</v>
      </c>
      <c r="D53" s="1" t="s">
        <v>36</v>
      </c>
      <c r="E53" s="1" t="s">
        <v>65</v>
      </c>
      <c r="F53" s="1" t="s">
        <v>66</v>
      </c>
      <c r="G53" s="1" t="s">
        <v>67</v>
      </c>
      <c r="H53" s="1" t="s">
        <v>26</v>
      </c>
      <c r="I53" s="1" t="s">
        <v>160</v>
      </c>
      <c r="J53" s="1" t="s">
        <v>41</v>
      </c>
      <c r="K53" s="1"/>
      <c r="L53" s="1" t="s">
        <v>69</v>
      </c>
      <c r="M53" s="1" t="s">
        <v>31</v>
      </c>
      <c r="N53" s="1" t="s">
        <v>32</v>
      </c>
      <c r="O53" s="1" t="s">
        <v>70</v>
      </c>
      <c r="P53" s="2">
        <v>46081</v>
      </c>
      <c r="Q53" s="2">
        <v>46077</v>
      </c>
      <c r="R53" s="2">
        <v>46078</v>
      </c>
      <c r="S53" s="1">
        <v>5</v>
      </c>
      <c r="T53" s="1">
        <v>4</v>
      </c>
      <c r="U53" s="1" t="s">
        <v>34</v>
      </c>
      <c r="V53" s="1">
        <v>8000</v>
      </c>
    </row>
    <row r="54" spans="2:22" x14ac:dyDescent="0.3">
      <c r="B54" s="1" t="s">
        <v>161</v>
      </c>
      <c r="C54" s="2">
        <v>46077</v>
      </c>
      <c r="D54" s="1" t="s">
        <v>47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162</v>
      </c>
      <c r="J54" s="1" t="s">
        <v>52</v>
      </c>
      <c r="K54" s="1" t="s">
        <v>29</v>
      </c>
      <c r="L54" s="1" t="s">
        <v>30</v>
      </c>
      <c r="M54" s="1" t="s">
        <v>31</v>
      </c>
      <c r="N54" s="1" t="s">
        <v>32</v>
      </c>
      <c r="O54" s="1" t="s">
        <v>33</v>
      </c>
      <c r="P54" s="2">
        <v>46082</v>
      </c>
      <c r="Q54" s="2">
        <v>46078</v>
      </c>
      <c r="R54" s="2">
        <v>46079</v>
      </c>
      <c r="S54" s="1">
        <v>5</v>
      </c>
      <c r="T54" s="1">
        <v>3</v>
      </c>
      <c r="U54" s="1" t="s">
        <v>34</v>
      </c>
      <c r="V54" s="1">
        <v>5000</v>
      </c>
    </row>
    <row r="55" spans="2:22" x14ac:dyDescent="0.3">
      <c r="B55" s="1" t="s">
        <v>163</v>
      </c>
      <c r="C55" s="2">
        <v>46078</v>
      </c>
      <c r="D55" s="1" t="s">
        <v>58</v>
      </c>
      <c r="E55" s="1" t="s">
        <v>37</v>
      </c>
      <c r="F55" s="1" t="s">
        <v>38</v>
      </c>
      <c r="G55" s="1" t="s">
        <v>39</v>
      </c>
      <c r="H55" s="1" t="s">
        <v>26</v>
      </c>
      <c r="I55" s="1" t="s">
        <v>164</v>
      </c>
      <c r="J55" s="1" t="s">
        <v>28</v>
      </c>
      <c r="K55" s="1"/>
      <c r="L55" s="1" t="s">
        <v>42</v>
      </c>
      <c r="M55" s="1" t="s">
        <v>31</v>
      </c>
      <c r="N55" s="1" t="s">
        <v>43</v>
      </c>
      <c r="O55" s="1" t="s">
        <v>44</v>
      </c>
      <c r="P55" s="2">
        <v>46083</v>
      </c>
      <c r="Q55" s="2">
        <v>46079</v>
      </c>
      <c r="R55" s="2">
        <v>46080</v>
      </c>
      <c r="S55" s="1">
        <v>8</v>
      </c>
      <c r="T55" s="1">
        <v>9</v>
      </c>
      <c r="U55" s="1" t="s">
        <v>45</v>
      </c>
      <c r="V55" s="1">
        <v>12000</v>
      </c>
    </row>
    <row r="56" spans="2:22" x14ac:dyDescent="0.3">
      <c r="B56" s="1" t="s">
        <v>165</v>
      </c>
      <c r="C56" s="2">
        <v>46079</v>
      </c>
      <c r="D56" s="1" t="s">
        <v>22</v>
      </c>
      <c r="E56" s="1" t="s">
        <v>48</v>
      </c>
      <c r="F56" s="1" t="s">
        <v>49</v>
      </c>
      <c r="G56" s="1" t="s">
        <v>50</v>
      </c>
      <c r="H56" s="1" t="s">
        <v>26</v>
      </c>
      <c r="I56" s="1" t="s">
        <v>166</v>
      </c>
      <c r="J56" s="1" t="s">
        <v>41</v>
      </c>
      <c r="K56" s="1" t="s">
        <v>53</v>
      </c>
      <c r="L56" s="1" t="s">
        <v>54</v>
      </c>
      <c r="M56" s="1" t="s">
        <v>31</v>
      </c>
      <c r="N56" s="1" t="s">
        <v>55</v>
      </c>
      <c r="O56" s="1" t="s">
        <v>56</v>
      </c>
      <c r="P56" s="2">
        <v>46084</v>
      </c>
      <c r="Q56" s="2">
        <v>46080</v>
      </c>
      <c r="R56" s="2">
        <v>46081</v>
      </c>
      <c r="S56" s="1">
        <v>10</v>
      </c>
      <c r="T56" s="1">
        <v>7</v>
      </c>
      <c r="U56" s="1" t="s">
        <v>34</v>
      </c>
      <c r="V56" s="1">
        <v>450</v>
      </c>
    </row>
    <row r="57" spans="2:22" x14ac:dyDescent="0.3">
      <c r="B57" s="1" t="s">
        <v>167</v>
      </c>
      <c r="C57" s="2">
        <v>46080</v>
      </c>
      <c r="D57" s="1" t="s">
        <v>36</v>
      </c>
      <c r="E57" s="1" t="s">
        <v>59</v>
      </c>
      <c r="F57" s="1" t="s">
        <v>60</v>
      </c>
      <c r="G57" s="1" t="s">
        <v>61</v>
      </c>
      <c r="H57" s="1" t="s">
        <v>26</v>
      </c>
      <c r="I57" s="1" t="s">
        <v>168</v>
      </c>
      <c r="J57" s="1" t="s">
        <v>52</v>
      </c>
      <c r="K57" s="1" t="s">
        <v>63</v>
      </c>
      <c r="L57" s="1"/>
      <c r="M57" s="1" t="s">
        <v>31</v>
      </c>
      <c r="N57" s="1" t="s">
        <v>32</v>
      </c>
      <c r="O57" s="1" t="s">
        <v>33</v>
      </c>
      <c r="P57" s="2">
        <v>46085</v>
      </c>
      <c r="Q57" s="2">
        <v>46081</v>
      </c>
      <c r="R57" s="2">
        <v>46082</v>
      </c>
      <c r="S57" s="1">
        <v>3</v>
      </c>
      <c r="T57" s="1">
        <v>2</v>
      </c>
      <c r="U57" s="1" t="s">
        <v>34</v>
      </c>
      <c r="V57" s="1"/>
    </row>
    <row r="58" spans="2:22" x14ac:dyDescent="0.3">
      <c r="B58" s="1" t="s">
        <v>169</v>
      </c>
      <c r="C58" s="2">
        <v>46081</v>
      </c>
      <c r="D58" s="1" t="s">
        <v>47</v>
      </c>
      <c r="E58" s="1" t="s">
        <v>65</v>
      </c>
      <c r="F58" s="1" t="s">
        <v>66</v>
      </c>
      <c r="G58" s="1" t="s">
        <v>67</v>
      </c>
      <c r="H58" s="1" t="s">
        <v>26</v>
      </c>
      <c r="I58" s="1" t="s">
        <v>170</v>
      </c>
      <c r="J58" s="1" t="s">
        <v>28</v>
      </c>
      <c r="K58" s="1"/>
      <c r="L58" s="1" t="s">
        <v>69</v>
      </c>
      <c r="M58" s="1" t="s">
        <v>31</v>
      </c>
      <c r="N58" s="1" t="s">
        <v>32</v>
      </c>
      <c r="O58" s="1" t="s">
        <v>70</v>
      </c>
      <c r="P58" s="2">
        <v>46086</v>
      </c>
      <c r="Q58" s="2">
        <v>46082</v>
      </c>
      <c r="R58" s="2">
        <v>46083</v>
      </c>
      <c r="S58" s="1">
        <v>5</v>
      </c>
      <c r="T58" s="1">
        <v>4</v>
      </c>
      <c r="U58" s="1" t="s">
        <v>34</v>
      </c>
      <c r="V58" s="1">
        <v>8000</v>
      </c>
    </row>
    <row r="59" spans="2:22" x14ac:dyDescent="0.3">
      <c r="B59" s="1" t="s">
        <v>171</v>
      </c>
      <c r="C59" s="2">
        <v>46082</v>
      </c>
      <c r="D59" s="1" t="s">
        <v>58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172</v>
      </c>
      <c r="J59" s="1" t="s">
        <v>41</v>
      </c>
      <c r="K59" s="1" t="s">
        <v>29</v>
      </c>
      <c r="L59" s="1" t="s">
        <v>30</v>
      </c>
      <c r="M59" s="1" t="s">
        <v>31</v>
      </c>
      <c r="N59" s="1" t="s">
        <v>32</v>
      </c>
      <c r="O59" s="1" t="s">
        <v>33</v>
      </c>
      <c r="P59" s="2">
        <v>46087</v>
      </c>
      <c r="Q59" s="2">
        <v>46083</v>
      </c>
      <c r="R59" s="2">
        <v>46084</v>
      </c>
      <c r="S59" s="1">
        <v>5</v>
      </c>
      <c r="T59" s="1">
        <v>3</v>
      </c>
      <c r="U59" s="1" t="s">
        <v>34</v>
      </c>
      <c r="V59" s="1">
        <v>5000</v>
      </c>
    </row>
    <row r="60" spans="2:22" x14ac:dyDescent="0.3">
      <c r="B60" s="1" t="s">
        <v>173</v>
      </c>
      <c r="C60" s="2">
        <v>46083</v>
      </c>
      <c r="D60" s="1" t="s">
        <v>22</v>
      </c>
      <c r="E60" s="1" t="s">
        <v>37</v>
      </c>
      <c r="F60" s="1" t="s">
        <v>38</v>
      </c>
      <c r="G60" s="1" t="s">
        <v>39</v>
      </c>
      <c r="H60" s="1" t="s">
        <v>26</v>
      </c>
      <c r="I60" s="1" t="s">
        <v>174</v>
      </c>
      <c r="J60" s="1" t="s">
        <v>52</v>
      </c>
      <c r="K60" s="1"/>
      <c r="L60" s="1" t="s">
        <v>42</v>
      </c>
      <c r="M60" s="1" t="s">
        <v>31</v>
      </c>
      <c r="N60" s="1" t="s">
        <v>43</v>
      </c>
      <c r="O60" s="1" t="s">
        <v>44</v>
      </c>
      <c r="P60" s="2">
        <v>46088</v>
      </c>
      <c r="Q60" s="2">
        <v>46084</v>
      </c>
      <c r="R60" s="2">
        <v>46085</v>
      </c>
      <c r="S60" s="1">
        <v>8</v>
      </c>
      <c r="T60" s="1">
        <v>9</v>
      </c>
      <c r="U60" s="1" t="s">
        <v>45</v>
      </c>
      <c r="V60" s="1">
        <v>12000</v>
      </c>
    </row>
    <row r="61" spans="2:22" x14ac:dyDescent="0.3">
      <c r="B61" s="1" t="s">
        <v>175</v>
      </c>
      <c r="C61" s="2">
        <v>46084</v>
      </c>
      <c r="D61" s="1" t="s">
        <v>36</v>
      </c>
      <c r="E61" s="1" t="s">
        <v>48</v>
      </c>
      <c r="F61" s="1" t="s">
        <v>49</v>
      </c>
      <c r="G61" s="1" t="s">
        <v>50</v>
      </c>
      <c r="H61" s="1" t="s">
        <v>26</v>
      </c>
      <c r="I61" s="1" t="s">
        <v>176</v>
      </c>
      <c r="J61" s="1" t="s">
        <v>28</v>
      </c>
      <c r="K61" s="1" t="s">
        <v>53</v>
      </c>
      <c r="L61" s="1" t="s">
        <v>54</v>
      </c>
      <c r="M61" s="1" t="s">
        <v>31</v>
      </c>
      <c r="N61" s="1" t="s">
        <v>55</v>
      </c>
      <c r="O61" s="1" t="s">
        <v>56</v>
      </c>
      <c r="P61" s="2">
        <v>46089</v>
      </c>
      <c r="Q61" s="2">
        <v>46085</v>
      </c>
      <c r="R61" s="2">
        <v>46086</v>
      </c>
      <c r="S61" s="1">
        <v>10</v>
      </c>
      <c r="T61" s="1">
        <v>7</v>
      </c>
      <c r="U61" s="1" t="s">
        <v>34</v>
      </c>
      <c r="V61" s="1">
        <v>450</v>
      </c>
    </row>
    <row r="62" spans="2:22" x14ac:dyDescent="0.3">
      <c r="B62" s="1" t="s">
        <v>177</v>
      </c>
      <c r="C62" s="2">
        <v>46085</v>
      </c>
      <c r="D62" s="1" t="s">
        <v>47</v>
      </c>
      <c r="E62" s="1" t="s">
        <v>59</v>
      </c>
      <c r="F62" s="1" t="s">
        <v>60</v>
      </c>
      <c r="G62" s="1" t="s">
        <v>61</v>
      </c>
      <c r="H62" s="1" t="s">
        <v>26</v>
      </c>
      <c r="I62" s="1" t="s">
        <v>178</v>
      </c>
      <c r="J62" s="1" t="s">
        <v>41</v>
      </c>
      <c r="K62" s="1" t="s">
        <v>63</v>
      </c>
      <c r="L62" s="1"/>
      <c r="M62" s="1" t="s">
        <v>31</v>
      </c>
      <c r="N62" s="1" t="s">
        <v>32</v>
      </c>
      <c r="O62" s="1" t="s">
        <v>33</v>
      </c>
      <c r="P62" s="2">
        <v>46090</v>
      </c>
      <c r="Q62" s="2">
        <v>46086</v>
      </c>
      <c r="R62" s="2">
        <v>46087</v>
      </c>
      <c r="S62" s="1">
        <v>3</v>
      </c>
      <c r="T62" s="1">
        <v>2</v>
      </c>
      <c r="U62" s="1" t="s">
        <v>34</v>
      </c>
      <c r="V62" s="1"/>
    </row>
    <row r="63" spans="2:22" x14ac:dyDescent="0.3">
      <c r="B63" s="1" t="s">
        <v>179</v>
      </c>
      <c r="C63" s="2">
        <v>46086</v>
      </c>
      <c r="D63" s="1" t="s">
        <v>58</v>
      </c>
      <c r="E63" s="1" t="s">
        <v>65</v>
      </c>
      <c r="F63" s="1" t="s">
        <v>66</v>
      </c>
      <c r="G63" s="1" t="s">
        <v>67</v>
      </c>
      <c r="H63" s="1" t="s">
        <v>26</v>
      </c>
      <c r="I63" s="1" t="s">
        <v>180</v>
      </c>
      <c r="J63" s="1" t="s">
        <v>52</v>
      </c>
      <c r="K63" s="1"/>
      <c r="L63" s="1" t="s">
        <v>69</v>
      </c>
      <c r="M63" s="1" t="s">
        <v>31</v>
      </c>
      <c r="N63" s="1" t="s">
        <v>32</v>
      </c>
      <c r="O63" s="1" t="s">
        <v>70</v>
      </c>
      <c r="P63" s="2">
        <v>46091</v>
      </c>
      <c r="Q63" s="2">
        <v>46087</v>
      </c>
      <c r="R63" s="2">
        <v>46088</v>
      </c>
      <c r="S63" s="1">
        <v>5</v>
      </c>
      <c r="T63" s="1">
        <v>4</v>
      </c>
      <c r="U63" s="1" t="s">
        <v>34</v>
      </c>
      <c r="V63" s="1">
        <v>8000</v>
      </c>
    </row>
    <row r="64" spans="2:22" x14ac:dyDescent="0.3">
      <c r="B64" s="1" t="s">
        <v>181</v>
      </c>
      <c r="C64" s="2">
        <v>46087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182</v>
      </c>
      <c r="J64" s="1" t="s">
        <v>28</v>
      </c>
      <c r="K64" s="1" t="s">
        <v>29</v>
      </c>
      <c r="L64" s="1" t="s">
        <v>30</v>
      </c>
      <c r="M64" s="1" t="s">
        <v>31</v>
      </c>
      <c r="N64" s="1" t="s">
        <v>32</v>
      </c>
      <c r="O64" s="1" t="s">
        <v>33</v>
      </c>
      <c r="P64" s="2">
        <v>46092</v>
      </c>
      <c r="Q64" s="2">
        <v>46088</v>
      </c>
      <c r="R64" s="2">
        <v>46089</v>
      </c>
      <c r="S64" s="1">
        <v>5</v>
      </c>
      <c r="T64" s="1">
        <v>3</v>
      </c>
      <c r="U64" s="1" t="s">
        <v>34</v>
      </c>
      <c r="V64" s="1">
        <v>5000</v>
      </c>
    </row>
    <row r="65" spans="2:22" x14ac:dyDescent="0.3">
      <c r="B65" s="1" t="s">
        <v>183</v>
      </c>
      <c r="C65" s="2">
        <v>46088</v>
      </c>
      <c r="D65" s="1" t="s">
        <v>36</v>
      </c>
      <c r="E65" s="1" t="s">
        <v>37</v>
      </c>
      <c r="F65" s="1" t="s">
        <v>38</v>
      </c>
      <c r="G65" s="1" t="s">
        <v>39</v>
      </c>
      <c r="H65" s="1" t="s">
        <v>26</v>
      </c>
      <c r="I65" s="1" t="s">
        <v>184</v>
      </c>
      <c r="J65" s="1" t="s">
        <v>41</v>
      </c>
      <c r="K65" s="1"/>
      <c r="L65" s="1" t="s">
        <v>42</v>
      </c>
      <c r="M65" s="1" t="s">
        <v>31</v>
      </c>
      <c r="N65" s="1" t="s">
        <v>43</v>
      </c>
      <c r="O65" s="1" t="s">
        <v>44</v>
      </c>
      <c r="P65" s="2">
        <v>46093</v>
      </c>
      <c r="Q65" s="2">
        <v>46089</v>
      </c>
      <c r="R65" s="2">
        <v>46090</v>
      </c>
      <c r="S65" s="1">
        <v>8</v>
      </c>
      <c r="T65" s="1">
        <v>9</v>
      </c>
      <c r="U65" s="1" t="s">
        <v>45</v>
      </c>
      <c r="V65" s="1">
        <v>12000</v>
      </c>
    </row>
    <row r="66" spans="2:22" x14ac:dyDescent="0.3">
      <c r="B66" s="1" t="s">
        <v>185</v>
      </c>
      <c r="C66" s="2">
        <v>46089</v>
      </c>
      <c r="D66" s="1" t="s">
        <v>47</v>
      </c>
      <c r="E66" s="1" t="s">
        <v>48</v>
      </c>
      <c r="F66" s="1" t="s">
        <v>49</v>
      </c>
      <c r="G66" s="1" t="s">
        <v>50</v>
      </c>
      <c r="H66" s="1" t="s">
        <v>26</v>
      </c>
      <c r="I66" s="1" t="s">
        <v>186</v>
      </c>
      <c r="J66" s="1" t="s">
        <v>52</v>
      </c>
      <c r="K66" s="1" t="s">
        <v>53</v>
      </c>
      <c r="L66" s="1" t="s">
        <v>54</v>
      </c>
      <c r="M66" s="1" t="s">
        <v>31</v>
      </c>
      <c r="N66" s="1" t="s">
        <v>55</v>
      </c>
      <c r="O66" s="1" t="s">
        <v>56</v>
      </c>
      <c r="P66" s="2">
        <v>46094</v>
      </c>
      <c r="Q66" s="2">
        <v>46090</v>
      </c>
      <c r="R66" s="2">
        <v>46091</v>
      </c>
      <c r="S66" s="1">
        <v>10</v>
      </c>
      <c r="T66" s="1">
        <v>7</v>
      </c>
      <c r="U66" s="1" t="s">
        <v>34</v>
      </c>
      <c r="V66" s="1">
        <v>450</v>
      </c>
    </row>
    <row r="67" spans="2:22" x14ac:dyDescent="0.3">
      <c r="B67" s="1" t="s">
        <v>187</v>
      </c>
      <c r="C67" s="2">
        <v>46090</v>
      </c>
      <c r="D67" s="1" t="s">
        <v>58</v>
      </c>
      <c r="E67" s="1" t="s">
        <v>59</v>
      </c>
      <c r="F67" s="1" t="s">
        <v>60</v>
      </c>
      <c r="G67" s="1" t="s">
        <v>61</v>
      </c>
      <c r="H67" s="1" t="s">
        <v>26</v>
      </c>
      <c r="I67" s="1" t="s">
        <v>188</v>
      </c>
      <c r="J67" s="1" t="s">
        <v>28</v>
      </c>
      <c r="K67" s="1" t="s">
        <v>63</v>
      </c>
      <c r="L67" s="1"/>
      <c r="M67" s="1" t="s">
        <v>31</v>
      </c>
      <c r="N67" s="1" t="s">
        <v>32</v>
      </c>
      <c r="O67" s="1" t="s">
        <v>33</v>
      </c>
      <c r="P67" s="2">
        <v>46095</v>
      </c>
      <c r="Q67" s="2">
        <v>46091</v>
      </c>
      <c r="R67" s="2">
        <v>46092</v>
      </c>
      <c r="S67" s="1">
        <v>3</v>
      </c>
      <c r="T67" s="1">
        <v>2</v>
      </c>
      <c r="U67" s="1" t="s">
        <v>34</v>
      </c>
      <c r="V67" s="1"/>
    </row>
    <row r="68" spans="2:22" x14ac:dyDescent="0.3">
      <c r="B68" s="1" t="s">
        <v>189</v>
      </c>
      <c r="C68" s="2">
        <v>46091</v>
      </c>
      <c r="D68" s="1" t="s">
        <v>22</v>
      </c>
      <c r="E68" s="1" t="s">
        <v>65</v>
      </c>
      <c r="F68" s="1" t="s">
        <v>66</v>
      </c>
      <c r="G68" s="1" t="s">
        <v>67</v>
      </c>
      <c r="H68" s="1" t="s">
        <v>26</v>
      </c>
      <c r="I68" s="1" t="s">
        <v>190</v>
      </c>
      <c r="J68" s="1" t="s">
        <v>41</v>
      </c>
      <c r="K68" s="1"/>
      <c r="L68" s="1" t="s">
        <v>69</v>
      </c>
      <c r="M68" s="1" t="s">
        <v>31</v>
      </c>
      <c r="N68" s="1" t="s">
        <v>32</v>
      </c>
      <c r="O68" s="1" t="s">
        <v>70</v>
      </c>
      <c r="P68" s="2">
        <v>46096</v>
      </c>
      <c r="Q68" s="2">
        <v>46092</v>
      </c>
      <c r="R68" s="2">
        <v>46093</v>
      </c>
      <c r="S68" s="1">
        <v>5</v>
      </c>
      <c r="T68" s="1">
        <v>4</v>
      </c>
      <c r="U68" s="1" t="s">
        <v>34</v>
      </c>
      <c r="V68" s="1">
        <v>8000</v>
      </c>
    </row>
    <row r="69" spans="2:22" x14ac:dyDescent="0.3">
      <c r="B69" s="1" t="s">
        <v>191</v>
      </c>
      <c r="C69" s="2">
        <v>46092</v>
      </c>
      <c r="D69" s="1" t="s">
        <v>36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192</v>
      </c>
      <c r="J69" s="1" t="s">
        <v>52</v>
      </c>
      <c r="K69" s="1" t="s">
        <v>29</v>
      </c>
      <c r="L69" s="1" t="s">
        <v>30</v>
      </c>
      <c r="M69" s="1" t="s">
        <v>31</v>
      </c>
      <c r="N69" s="1" t="s">
        <v>32</v>
      </c>
      <c r="O69" s="1" t="s">
        <v>33</v>
      </c>
      <c r="P69" s="2">
        <v>46097</v>
      </c>
      <c r="Q69" s="2">
        <v>46093</v>
      </c>
      <c r="R69" s="2">
        <v>46094</v>
      </c>
      <c r="S69" s="1">
        <v>5</v>
      </c>
      <c r="T69" s="1">
        <v>3</v>
      </c>
      <c r="U69" s="1" t="s">
        <v>34</v>
      </c>
      <c r="V69" s="1">
        <v>5000</v>
      </c>
    </row>
    <row r="70" spans="2:22" x14ac:dyDescent="0.3">
      <c r="B70" s="1" t="s">
        <v>193</v>
      </c>
      <c r="C70" s="2">
        <v>46093</v>
      </c>
      <c r="D70" s="1" t="s">
        <v>47</v>
      </c>
      <c r="E70" s="1" t="s">
        <v>37</v>
      </c>
      <c r="F70" s="1" t="s">
        <v>38</v>
      </c>
      <c r="G70" s="1" t="s">
        <v>39</v>
      </c>
      <c r="H70" s="1" t="s">
        <v>26</v>
      </c>
      <c r="I70" s="1" t="s">
        <v>194</v>
      </c>
      <c r="J70" s="1" t="s">
        <v>28</v>
      </c>
      <c r="K70" s="1"/>
      <c r="L70" s="1" t="s">
        <v>42</v>
      </c>
      <c r="M70" s="1" t="s">
        <v>31</v>
      </c>
      <c r="N70" s="1" t="s">
        <v>43</v>
      </c>
      <c r="O70" s="1" t="s">
        <v>44</v>
      </c>
      <c r="P70" s="2">
        <v>46098</v>
      </c>
      <c r="Q70" s="2">
        <v>46094</v>
      </c>
      <c r="R70" s="2">
        <v>46095</v>
      </c>
      <c r="S70" s="1">
        <v>8</v>
      </c>
      <c r="T70" s="1">
        <v>9</v>
      </c>
      <c r="U70" s="1" t="s">
        <v>45</v>
      </c>
      <c r="V70" s="1">
        <v>12000</v>
      </c>
    </row>
    <row r="71" spans="2:22" x14ac:dyDescent="0.3">
      <c r="B71" s="1" t="s">
        <v>195</v>
      </c>
      <c r="C71" s="2">
        <v>46094</v>
      </c>
      <c r="D71" s="1" t="s">
        <v>58</v>
      </c>
      <c r="E71" s="1" t="s">
        <v>48</v>
      </c>
      <c r="F71" s="1" t="s">
        <v>49</v>
      </c>
      <c r="G71" s="1" t="s">
        <v>50</v>
      </c>
      <c r="H71" s="1" t="s">
        <v>26</v>
      </c>
      <c r="I71" s="1" t="s">
        <v>196</v>
      </c>
      <c r="J71" s="1" t="s">
        <v>41</v>
      </c>
      <c r="K71" s="1" t="s">
        <v>53</v>
      </c>
      <c r="L71" s="1" t="s">
        <v>54</v>
      </c>
      <c r="M71" s="1" t="s">
        <v>31</v>
      </c>
      <c r="N71" s="1" t="s">
        <v>55</v>
      </c>
      <c r="O71" s="1" t="s">
        <v>56</v>
      </c>
      <c r="P71" s="2">
        <v>46099</v>
      </c>
      <c r="Q71" s="2">
        <v>46095</v>
      </c>
      <c r="R71" s="2">
        <v>46096</v>
      </c>
      <c r="S71" s="1">
        <v>10</v>
      </c>
      <c r="T71" s="1">
        <v>7</v>
      </c>
      <c r="U71" s="1" t="s">
        <v>34</v>
      </c>
      <c r="V71" s="1">
        <v>450</v>
      </c>
    </row>
    <row r="72" spans="2:22" x14ac:dyDescent="0.3">
      <c r="B72" s="1" t="s">
        <v>197</v>
      </c>
      <c r="C72" s="2">
        <v>46095</v>
      </c>
      <c r="D72" s="1" t="s">
        <v>22</v>
      </c>
      <c r="E72" s="1" t="s">
        <v>59</v>
      </c>
      <c r="F72" s="1" t="s">
        <v>60</v>
      </c>
      <c r="G72" s="1" t="s">
        <v>61</v>
      </c>
      <c r="H72" s="1" t="s">
        <v>26</v>
      </c>
      <c r="I72" s="1" t="s">
        <v>198</v>
      </c>
      <c r="J72" s="1" t="s">
        <v>52</v>
      </c>
      <c r="K72" s="1" t="s">
        <v>63</v>
      </c>
      <c r="L72" s="1"/>
      <c r="M72" s="1" t="s">
        <v>31</v>
      </c>
      <c r="N72" s="1" t="s">
        <v>32</v>
      </c>
      <c r="O72" s="1" t="s">
        <v>33</v>
      </c>
      <c r="P72" s="2">
        <v>46100</v>
      </c>
      <c r="Q72" s="2">
        <v>46096</v>
      </c>
      <c r="R72" s="2">
        <v>46097</v>
      </c>
      <c r="S72" s="1">
        <v>3</v>
      </c>
      <c r="T72" s="1">
        <v>2</v>
      </c>
      <c r="U72" s="1" t="s">
        <v>34</v>
      </c>
      <c r="V72" s="1"/>
    </row>
    <row r="73" spans="2:22" x14ac:dyDescent="0.3">
      <c r="B73" s="1" t="s">
        <v>199</v>
      </c>
      <c r="C73" s="2">
        <v>46096</v>
      </c>
      <c r="D73" s="1" t="s">
        <v>36</v>
      </c>
      <c r="E73" s="1" t="s">
        <v>65</v>
      </c>
      <c r="F73" s="1" t="s">
        <v>66</v>
      </c>
      <c r="G73" s="1" t="s">
        <v>67</v>
      </c>
      <c r="H73" s="1" t="s">
        <v>26</v>
      </c>
      <c r="I73" s="1" t="s">
        <v>200</v>
      </c>
      <c r="J73" s="1" t="s">
        <v>28</v>
      </c>
      <c r="K73" s="1"/>
      <c r="L73" s="1" t="s">
        <v>69</v>
      </c>
      <c r="M73" s="1" t="s">
        <v>31</v>
      </c>
      <c r="N73" s="1" t="s">
        <v>32</v>
      </c>
      <c r="O73" s="1" t="s">
        <v>70</v>
      </c>
      <c r="P73" s="2">
        <v>46101</v>
      </c>
      <c r="Q73" s="2">
        <v>46097</v>
      </c>
      <c r="R73" s="2">
        <v>46098</v>
      </c>
      <c r="S73" s="1">
        <v>5</v>
      </c>
      <c r="T73" s="1">
        <v>4</v>
      </c>
      <c r="U73" s="1" t="s">
        <v>34</v>
      </c>
      <c r="V73" s="1">
        <v>8000</v>
      </c>
    </row>
    <row r="74" spans="2:22" x14ac:dyDescent="0.3">
      <c r="B74" s="1" t="s">
        <v>201</v>
      </c>
      <c r="C74" s="2">
        <v>46097</v>
      </c>
      <c r="D74" s="1" t="s">
        <v>47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202</v>
      </c>
      <c r="J74" s="1" t="s">
        <v>41</v>
      </c>
      <c r="K74" s="1" t="s">
        <v>29</v>
      </c>
      <c r="L74" s="1" t="s">
        <v>30</v>
      </c>
      <c r="M74" s="1" t="s">
        <v>31</v>
      </c>
      <c r="N74" s="1" t="s">
        <v>32</v>
      </c>
      <c r="O74" s="1" t="s">
        <v>33</v>
      </c>
      <c r="P74" s="2">
        <v>46102</v>
      </c>
      <c r="Q74" s="2">
        <v>46098</v>
      </c>
      <c r="R74" s="2">
        <v>46099</v>
      </c>
      <c r="S74" s="1">
        <v>5</v>
      </c>
      <c r="T74" s="1">
        <v>3</v>
      </c>
      <c r="U74" s="1" t="s">
        <v>34</v>
      </c>
      <c r="V74" s="1">
        <v>5000</v>
      </c>
    </row>
    <row r="75" spans="2:22" x14ac:dyDescent="0.3">
      <c r="B75" s="1" t="s">
        <v>203</v>
      </c>
      <c r="C75" s="2">
        <v>46098</v>
      </c>
      <c r="D75" s="1" t="s">
        <v>58</v>
      </c>
      <c r="E75" s="1" t="s">
        <v>37</v>
      </c>
      <c r="F75" s="1" t="s">
        <v>38</v>
      </c>
      <c r="G75" s="1" t="s">
        <v>39</v>
      </c>
      <c r="H75" s="1" t="s">
        <v>26</v>
      </c>
      <c r="I75" s="1" t="s">
        <v>204</v>
      </c>
      <c r="J75" s="1" t="s">
        <v>52</v>
      </c>
      <c r="K75" s="1"/>
      <c r="L75" s="1" t="s">
        <v>42</v>
      </c>
      <c r="M75" s="1" t="s">
        <v>31</v>
      </c>
      <c r="N75" s="1" t="s">
        <v>43</v>
      </c>
      <c r="O75" s="1" t="s">
        <v>44</v>
      </c>
      <c r="P75" s="2">
        <v>46103</v>
      </c>
      <c r="Q75" s="2">
        <v>46099</v>
      </c>
      <c r="R75" s="2">
        <v>46100</v>
      </c>
      <c r="S75" s="1">
        <v>8</v>
      </c>
      <c r="T75" s="1">
        <v>9</v>
      </c>
      <c r="U75" s="1" t="s">
        <v>45</v>
      </c>
      <c r="V75" s="1">
        <v>12000</v>
      </c>
    </row>
    <row r="76" spans="2:22" x14ac:dyDescent="0.3">
      <c r="B76" s="1" t="s">
        <v>205</v>
      </c>
      <c r="C76" s="2">
        <v>46099</v>
      </c>
      <c r="D76" s="1" t="s">
        <v>22</v>
      </c>
      <c r="E76" s="1" t="s">
        <v>48</v>
      </c>
      <c r="F76" s="1" t="s">
        <v>49</v>
      </c>
      <c r="G76" s="1" t="s">
        <v>50</v>
      </c>
      <c r="H76" s="1" t="s">
        <v>26</v>
      </c>
      <c r="I76" s="1" t="s">
        <v>206</v>
      </c>
      <c r="J76" s="1" t="s">
        <v>28</v>
      </c>
      <c r="K76" s="1" t="s">
        <v>53</v>
      </c>
      <c r="L76" s="1" t="s">
        <v>54</v>
      </c>
      <c r="M76" s="1" t="s">
        <v>31</v>
      </c>
      <c r="N76" s="1" t="s">
        <v>55</v>
      </c>
      <c r="O76" s="1" t="s">
        <v>56</v>
      </c>
      <c r="P76" s="2">
        <v>46104</v>
      </c>
      <c r="Q76" s="2">
        <v>46100</v>
      </c>
      <c r="R76" s="2">
        <v>46101</v>
      </c>
      <c r="S76" s="1">
        <v>10</v>
      </c>
      <c r="T76" s="1">
        <v>7</v>
      </c>
      <c r="U76" s="1" t="s">
        <v>34</v>
      </c>
      <c r="V76" s="1">
        <v>450</v>
      </c>
    </row>
    <row r="77" spans="2:22" x14ac:dyDescent="0.3">
      <c r="B77" s="1" t="s">
        <v>207</v>
      </c>
      <c r="C77" s="2">
        <v>46100</v>
      </c>
      <c r="D77" s="1" t="s">
        <v>36</v>
      </c>
      <c r="E77" s="1" t="s">
        <v>59</v>
      </c>
      <c r="F77" s="1" t="s">
        <v>60</v>
      </c>
      <c r="G77" s="1" t="s">
        <v>61</v>
      </c>
      <c r="H77" s="1" t="s">
        <v>26</v>
      </c>
      <c r="I77" s="1" t="s">
        <v>208</v>
      </c>
      <c r="J77" s="1" t="s">
        <v>41</v>
      </c>
      <c r="K77" s="1" t="s">
        <v>63</v>
      </c>
      <c r="L77" s="1"/>
      <c r="M77" s="1" t="s">
        <v>31</v>
      </c>
      <c r="N77" s="1" t="s">
        <v>32</v>
      </c>
      <c r="O77" s="1" t="s">
        <v>33</v>
      </c>
      <c r="P77" s="2">
        <v>46105</v>
      </c>
      <c r="Q77" s="2">
        <v>46101</v>
      </c>
      <c r="R77" s="2">
        <v>46102</v>
      </c>
      <c r="S77" s="1">
        <v>3</v>
      </c>
      <c r="T77" s="1">
        <v>2</v>
      </c>
      <c r="U77" s="1" t="s">
        <v>34</v>
      </c>
      <c r="V77" s="1"/>
    </row>
    <row r="78" spans="2:22" x14ac:dyDescent="0.3">
      <c r="B78" s="1" t="s">
        <v>209</v>
      </c>
      <c r="C78" s="2">
        <v>46101</v>
      </c>
      <c r="D78" s="1" t="s">
        <v>47</v>
      </c>
      <c r="E78" s="1" t="s">
        <v>65</v>
      </c>
      <c r="F78" s="1" t="s">
        <v>66</v>
      </c>
      <c r="G78" s="1" t="s">
        <v>67</v>
      </c>
      <c r="H78" s="1" t="s">
        <v>26</v>
      </c>
      <c r="I78" s="1" t="s">
        <v>210</v>
      </c>
      <c r="J78" s="1" t="s">
        <v>52</v>
      </c>
      <c r="K78" s="1"/>
      <c r="L78" s="1" t="s">
        <v>69</v>
      </c>
      <c r="M78" s="1" t="s">
        <v>31</v>
      </c>
      <c r="N78" s="1" t="s">
        <v>32</v>
      </c>
      <c r="O78" s="1" t="s">
        <v>70</v>
      </c>
      <c r="P78" s="2">
        <v>46106</v>
      </c>
      <c r="Q78" s="2">
        <v>46102</v>
      </c>
      <c r="R78" s="2">
        <v>46103</v>
      </c>
      <c r="S78" s="1">
        <v>5</v>
      </c>
      <c r="T78" s="1">
        <v>4</v>
      </c>
      <c r="U78" s="1" t="s">
        <v>34</v>
      </c>
      <c r="V78" s="1">
        <v>8000</v>
      </c>
    </row>
    <row r="79" spans="2:22" x14ac:dyDescent="0.3">
      <c r="B79" s="1" t="s">
        <v>211</v>
      </c>
      <c r="C79" s="2">
        <v>46102</v>
      </c>
      <c r="D79" s="1" t="s">
        <v>58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212</v>
      </c>
      <c r="J79" s="1" t="s">
        <v>28</v>
      </c>
      <c r="K79" s="1" t="s">
        <v>29</v>
      </c>
      <c r="L79" s="1" t="s">
        <v>30</v>
      </c>
      <c r="M79" s="1" t="s">
        <v>31</v>
      </c>
      <c r="N79" s="1" t="s">
        <v>32</v>
      </c>
      <c r="O79" s="1" t="s">
        <v>33</v>
      </c>
      <c r="P79" s="2">
        <v>46107</v>
      </c>
      <c r="Q79" s="2">
        <v>46103</v>
      </c>
      <c r="R79" s="2">
        <v>46104</v>
      </c>
      <c r="S79" s="1">
        <v>5</v>
      </c>
      <c r="T79" s="1">
        <v>3</v>
      </c>
      <c r="U79" s="1" t="s">
        <v>34</v>
      </c>
      <c r="V79" s="1">
        <v>5000</v>
      </c>
    </row>
    <row r="80" spans="2:22" x14ac:dyDescent="0.3">
      <c r="B80" s="1" t="s">
        <v>213</v>
      </c>
      <c r="C80" s="2">
        <v>46103</v>
      </c>
      <c r="D80" s="1" t="s">
        <v>22</v>
      </c>
      <c r="E80" s="1" t="s">
        <v>37</v>
      </c>
      <c r="F80" s="1" t="s">
        <v>38</v>
      </c>
      <c r="G80" s="1" t="s">
        <v>39</v>
      </c>
      <c r="H80" s="1" t="s">
        <v>26</v>
      </c>
      <c r="I80" s="1" t="s">
        <v>214</v>
      </c>
      <c r="J80" s="1" t="s">
        <v>41</v>
      </c>
      <c r="K80" s="1"/>
      <c r="L80" s="1" t="s">
        <v>42</v>
      </c>
      <c r="M80" s="1" t="s">
        <v>31</v>
      </c>
      <c r="N80" s="1" t="s">
        <v>43</v>
      </c>
      <c r="O80" s="1" t="s">
        <v>44</v>
      </c>
      <c r="P80" s="2">
        <v>46108</v>
      </c>
      <c r="Q80" s="2">
        <v>46104</v>
      </c>
      <c r="R80" s="2">
        <v>46105</v>
      </c>
      <c r="S80" s="1">
        <v>8</v>
      </c>
      <c r="T80" s="1">
        <v>9</v>
      </c>
      <c r="U80" s="1" t="s">
        <v>45</v>
      </c>
      <c r="V80" s="1">
        <v>12000</v>
      </c>
    </row>
    <row r="81" spans="2:22" x14ac:dyDescent="0.3">
      <c r="B81" s="1" t="s">
        <v>215</v>
      </c>
      <c r="C81" s="2">
        <v>46104</v>
      </c>
      <c r="D81" s="1" t="s">
        <v>36</v>
      </c>
      <c r="E81" s="1" t="s">
        <v>48</v>
      </c>
      <c r="F81" s="1" t="s">
        <v>49</v>
      </c>
      <c r="G81" s="1" t="s">
        <v>50</v>
      </c>
      <c r="H81" s="1" t="s">
        <v>26</v>
      </c>
      <c r="I81" s="1" t="s">
        <v>216</v>
      </c>
      <c r="J81" s="1" t="s">
        <v>52</v>
      </c>
      <c r="K81" s="1" t="s">
        <v>53</v>
      </c>
      <c r="L81" s="1" t="s">
        <v>54</v>
      </c>
      <c r="M81" s="1" t="s">
        <v>31</v>
      </c>
      <c r="N81" s="1" t="s">
        <v>55</v>
      </c>
      <c r="O81" s="1" t="s">
        <v>56</v>
      </c>
      <c r="P81" s="2">
        <v>46109</v>
      </c>
      <c r="Q81" s="2">
        <v>46105</v>
      </c>
      <c r="R81" s="2">
        <v>46106</v>
      </c>
      <c r="S81" s="1">
        <v>10</v>
      </c>
      <c r="T81" s="1">
        <v>7</v>
      </c>
      <c r="U81" s="1" t="s">
        <v>34</v>
      </c>
      <c r="V81" s="1">
        <v>450</v>
      </c>
    </row>
    <row r="82" spans="2:22" x14ac:dyDescent="0.3">
      <c r="B82" s="1" t="s">
        <v>217</v>
      </c>
      <c r="C82" s="2">
        <v>46105</v>
      </c>
      <c r="D82" s="1" t="s">
        <v>47</v>
      </c>
      <c r="E82" s="1" t="s">
        <v>59</v>
      </c>
      <c r="F82" s="1" t="s">
        <v>60</v>
      </c>
      <c r="G82" s="1" t="s">
        <v>61</v>
      </c>
      <c r="H82" s="1" t="s">
        <v>26</v>
      </c>
      <c r="I82" s="1" t="s">
        <v>218</v>
      </c>
      <c r="J82" s="1" t="s">
        <v>28</v>
      </c>
      <c r="K82" s="1" t="s">
        <v>63</v>
      </c>
      <c r="L82" s="1"/>
      <c r="M82" s="1" t="s">
        <v>31</v>
      </c>
      <c r="N82" s="1" t="s">
        <v>32</v>
      </c>
      <c r="O82" s="1" t="s">
        <v>33</v>
      </c>
      <c r="P82" s="2">
        <v>46110</v>
      </c>
      <c r="Q82" s="2">
        <v>46106</v>
      </c>
      <c r="R82" s="2">
        <v>46107</v>
      </c>
      <c r="S82" s="1">
        <v>3</v>
      </c>
      <c r="T82" s="1">
        <v>2</v>
      </c>
      <c r="U82" s="1" t="s">
        <v>34</v>
      </c>
      <c r="V82" s="1"/>
    </row>
    <row r="83" spans="2:22" x14ac:dyDescent="0.3">
      <c r="B83" s="1" t="s">
        <v>219</v>
      </c>
      <c r="C83" s="2">
        <v>46106</v>
      </c>
      <c r="D83" s="1" t="s">
        <v>58</v>
      </c>
      <c r="E83" s="1" t="s">
        <v>65</v>
      </c>
      <c r="F83" s="1" t="s">
        <v>66</v>
      </c>
      <c r="G83" s="1" t="s">
        <v>67</v>
      </c>
      <c r="H83" s="1" t="s">
        <v>26</v>
      </c>
      <c r="I83" s="1" t="s">
        <v>220</v>
      </c>
      <c r="J83" s="1" t="s">
        <v>41</v>
      </c>
      <c r="K83" s="1"/>
      <c r="L83" s="1" t="s">
        <v>69</v>
      </c>
      <c r="M83" s="1" t="s">
        <v>31</v>
      </c>
      <c r="N83" s="1" t="s">
        <v>32</v>
      </c>
      <c r="O83" s="1" t="s">
        <v>70</v>
      </c>
      <c r="P83" s="2">
        <v>46111</v>
      </c>
      <c r="Q83" s="2">
        <v>46107</v>
      </c>
      <c r="R83" s="2">
        <v>46108</v>
      </c>
      <c r="S83" s="1">
        <v>5</v>
      </c>
      <c r="T83" s="1">
        <v>4</v>
      </c>
      <c r="U83" s="1" t="s">
        <v>34</v>
      </c>
      <c r="V83" s="1">
        <v>8000</v>
      </c>
    </row>
    <row r="84" spans="2:22" x14ac:dyDescent="0.3">
      <c r="B84" s="1" t="s">
        <v>221</v>
      </c>
      <c r="C84" s="2">
        <v>46107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222</v>
      </c>
      <c r="J84" s="1" t="s">
        <v>52</v>
      </c>
      <c r="K84" s="1" t="s">
        <v>29</v>
      </c>
      <c r="L84" s="1" t="s">
        <v>30</v>
      </c>
      <c r="M84" s="1" t="s">
        <v>31</v>
      </c>
      <c r="N84" s="1" t="s">
        <v>32</v>
      </c>
      <c r="O84" s="1" t="s">
        <v>33</v>
      </c>
      <c r="P84" s="2">
        <v>46112</v>
      </c>
      <c r="Q84" s="2">
        <v>46108</v>
      </c>
      <c r="R84" s="2">
        <v>46109</v>
      </c>
      <c r="S84" s="1">
        <v>5</v>
      </c>
      <c r="T84" s="1">
        <v>3</v>
      </c>
      <c r="U84" s="1" t="s">
        <v>34</v>
      </c>
      <c r="V84" s="1">
        <v>5000</v>
      </c>
    </row>
    <row r="85" spans="2:22" x14ac:dyDescent="0.3">
      <c r="B85" s="1" t="s">
        <v>223</v>
      </c>
      <c r="C85" s="2">
        <v>46108</v>
      </c>
      <c r="D85" s="1" t="s">
        <v>36</v>
      </c>
      <c r="E85" s="1" t="s">
        <v>37</v>
      </c>
      <c r="F85" s="1" t="s">
        <v>38</v>
      </c>
      <c r="G85" s="1" t="s">
        <v>39</v>
      </c>
      <c r="H85" s="1" t="s">
        <v>26</v>
      </c>
      <c r="I85" s="1" t="s">
        <v>224</v>
      </c>
      <c r="J85" s="1" t="s">
        <v>28</v>
      </c>
      <c r="K85" s="1"/>
      <c r="L85" s="1" t="s">
        <v>42</v>
      </c>
      <c r="M85" s="1" t="s">
        <v>31</v>
      </c>
      <c r="N85" s="1" t="s">
        <v>43</v>
      </c>
      <c r="O85" s="1" t="s">
        <v>44</v>
      </c>
      <c r="P85" s="2">
        <v>46113</v>
      </c>
      <c r="Q85" s="2">
        <v>46109</v>
      </c>
      <c r="R85" s="2">
        <v>46110</v>
      </c>
      <c r="S85" s="1">
        <v>8</v>
      </c>
      <c r="T85" s="1">
        <v>9</v>
      </c>
      <c r="U85" s="1" t="s">
        <v>45</v>
      </c>
      <c r="V85" s="1">
        <v>12000</v>
      </c>
    </row>
    <row r="86" spans="2:22" x14ac:dyDescent="0.3">
      <c r="B86" s="1" t="s">
        <v>225</v>
      </c>
      <c r="C86" s="2">
        <v>46109</v>
      </c>
      <c r="D86" s="1" t="s">
        <v>47</v>
      </c>
      <c r="E86" s="1" t="s">
        <v>48</v>
      </c>
      <c r="F86" s="1" t="s">
        <v>49</v>
      </c>
      <c r="G86" s="1" t="s">
        <v>50</v>
      </c>
      <c r="H86" s="1" t="s">
        <v>26</v>
      </c>
      <c r="I86" s="1" t="s">
        <v>226</v>
      </c>
      <c r="J86" s="1" t="s">
        <v>41</v>
      </c>
      <c r="K86" s="1" t="s">
        <v>53</v>
      </c>
      <c r="L86" s="1" t="s">
        <v>54</v>
      </c>
      <c r="M86" s="1" t="s">
        <v>31</v>
      </c>
      <c r="N86" s="1" t="s">
        <v>55</v>
      </c>
      <c r="O86" s="1" t="s">
        <v>56</v>
      </c>
      <c r="P86" s="2">
        <v>46114</v>
      </c>
      <c r="Q86" s="2">
        <v>46110</v>
      </c>
      <c r="R86" s="2">
        <v>46111</v>
      </c>
      <c r="S86" s="1">
        <v>10</v>
      </c>
      <c r="T86" s="1">
        <v>7</v>
      </c>
      <c r="U86" s="1" t="s">
        <v>34</v>
      </c>
      <c r="V86" s="1">
        <v>450</v>
      </c>
    </row>
    <row r="87" spans="2:22" x14ac:dyDescent="0.3">
      <c r="B87" s="1" t="s">
        <v>227</v>
      </c>
      <c r="C87" s="2">
        <v>46110</v>
      </c>
      <c r="D87" s="1" t="s">
        <v>58</v>
      </c>
      <c r="E87" s="1" t="s">
        <v>59</v>
      </c>
      <c r="F87" s="1" t="s">
        <v>60</v>
      </c>
      <c r="G87" s="1" t="s">
        <v>61</v>
      </c>
      <c r="H87" s="1" t="s">
        <v>26</v>
      </c>
      <c r="I87" s="1" t="s">
        <v>228</v>
      </c>
      <c r="J87" s="1" t="s">
        <v>52</v>
      </c>
      <c r="K87" s="1" t="s">
        <v>63</v>
      </c>
      <c r="L87" s="1"/>
      <c r="M87" s="1" t="s">
        <v>31</v>
      </c>
      <c r="N87" s="1" t="s">
        <v>32</v>
      </c>
      <c r="O87" s="1" t="s">
        <v>33</v>
      </c>
      <c r="P87" s="2">
        <v>46115</v>
      </c>
      <c r="Q87" s="2">
        <v>46111</v>
      </c>
      <c r="R87" s="2">
        <v>46112</v>
      </c>
      <c r="S87" s="1">
        <v>3</v>
      </c>
      <c r="T87" s="1">
        <v>2</v>
      </c>
      <c r="U87" s="1" t="s">
        <v>34</v>
      </c>
      <c r="V87" s="1"/>
    </row>
    <row r="88" spans="2:22" x14ac:dyDescent="0.3">
      <c r="B88" s="1" t="s">
        <v>229</v>
      </c>
      <c r="C88" s="2">
        <v>46111</v>
      </c>
      <c r="D88" s="1" t="s">
        <v>22</v>
      </c>
      <c r="E88" s="1" t="s">
        <v>65</v>
      </c>
      <c r="F88" s="1" t="s">
        <v>66</v>
      </c>
      <c r="G88" s="1" t="s">
        <v>67</v>
      </c>
      <c r="H88" s="1" t="s">
        <v>26</v>
      </c>
      <c r="I88" s="1" t="s">
        <v>230</v>
      </c>
      <c r="J88" s="1" t="s">
        <v>28</v>
      </c>
      <c r="K88" s="1"/>
      <c r="L88" s="1" t="s">
        <v>69</v>
      </c>
      <c r="M88" s="1" t="s">
        <v>31</v>
      </c>
      <c r="N88" s="1" t="s">
        <v>32</v>
      </c>
      <c r="O88" s="1" t="s">
        <v>70</v>
      </c>
      <c r="P88" s="2">
        <v>46116</v>
      </c>
      <c r="Q88" s="2">
        <v>46112</v>
      </c>
      <c r="R88" s="2">
        <v>46113</v>
      </c>
      <c r="S88" s="1">
        <v>5</v>
      </c>
      <c r="T88" s="1">
        <v>4</v>
      </c>
      <c r="U88" s="1" t="s">
        <v>34</v>
      </c>
      <c r="V88" s="1">
        <v>8000</v>
      </c>
    </row>
    <row r="89" spans="2:22" x14ac:dyDescent="0.3">
      <c r="B89" s="1" t="s">
        <v>231</v>
      </c>
      <c r="C89" s="2">
        <v>46112</v>
      </c>
      <c r="D89" s="1" t="s">
        <v>36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232</v>
      </c>
      <c r="J89" s="1" t="s">
        <v>41</v>
      </c>
      <c r="K89" s="1" t="s">
        <v>29</v>
      </c>
      <c r="L89" s="1" t="s">
        <v>30</v>
      </c>
      <c r="M89" s="1" t="s">
        <v>31</v>
      </c>
      <c r="N89" s="1" t="s">
        <v>32</v>
      </c>
      <c r="O89" s="1" t="s">
        <v>33</v>
      </c>
      <c r="P89" s="2">
        <v>46117</v>
      </c>
      <c r="Q89" s="2">
        <v>46113</v>
      </c>
      <c r="R89" s="2">
        <v>46114</v>
      </c>
      <c r="S89" s="1">
        <v>5</v>
      </c>
      <c r="T89" s="1">
        <v>3</v>
      </c>
      <c r="U89" s="1" t="s">
        <v>34</v>
      </c>
      <c r="V89" s="1">
        <v>5000</v>
      </c>
    </row>
    <row r="90" spans="2:22" x14ac:dyDescent="0.3">
      <c r="B90" s="1" t="s">
        <v>233</v>
      </c>
      <c r="C90" s="2">
        <v>46113</v>
      </c>
      <c r="D90" s="1" t="s">
        <v>47</v>
      </c>
      <c r="E90" s="1" t="s">
        <v>37</v>
      </c>
      <c r="F90" s="1" t="s">
        <v>38</v>
      </c>
      <c r="G90" s="1" t="s">
        <v>39</v>
      </c>
      <c r="H90" s="1" t="s">
        <v>26</v>
      </c>
      <c r="I90" s="1" t="s">
        <v>234</v>
      </c>
      <c r="J90" s="1" t="s">
        <v>52</v>
      </c>
      <c r="K90" s="1"/>
      <c r="L90" s="1" t="s">
        <v>42</v>
      </c>
      <c r="M90" s="1" t="s">
        <v>31</v>
      </c>
      <c r="N90" s="1" t="s">
        <v>43</v>
      </c>
      <c r="O90" s="1" t="s">
        <v>44</v>
      </c>
      <c r="P90" s="2">
        <v>46118</v>
      </c>
      <c r="Q90" s="2">
        <v>46114</v>
      </c>
      <c r="R90" s="2">
        <v>46115</v>
      </c>
      <c r="S90" s="1">
        <v>8</v>
      </c>
      <c r="T90" s="1">
        <v>9</v>
      </c>
      <c r="U90" s="1" t="s">
        <v>45</v>
      </c>
      <c r="V90" s="1">
        <v>12000</v>
      </c>
    </row>
    <row r="91" spans="2:22" x14ac:dyDescent="0.3">
      <c r="B91" s="1" t="s">
        <v>235</v>
      </c>
      <c r="C91" s="2">
        <v>46114</v>
      </c>
      <c r="D91" s="1" t="s">
        <v>58</v>
      </c>
      <c r="E91" s="1" t="s">
        <v>48</v>
      </c>
      <c r="F91" s="1" t="s">
        <v>49</v>
      </c>
      <c r="G91" s="1" t="s">
        <v>50</v>
      </c>
      <c r="H91" s="1" t="s">
        <v>26</v>
      </c>
      <c r="I91" s="1" t="s">
        <v>236</v>
      </c>
      <c r="J91" s="1" t="s">
        <v>28</v>
      </c>
      <c r="K91" s="1" t="s">
        <v>53</v>
      </c>
      <c r="L91" s="1" t="s">
        <v>54</v>
      </c>
      <c r="M91" s="1" t="s">
        <v>31</v>
      </c>
      <c r="N91" s="1" t="s">
        <v>55</v>
      </c>
      <c r="O91" s="1" t="s">
        <v>56</v>
      </c>
      <c r="P91" s="2">
        <v>46119</v>
      </c>
      <c r="Q91" s="2">
        <v>46115</v>
      </c>
      <c r="R91" s="2">
        <v>46116</v>
      </c>
      <c r="S91" s="1">
        <v>10</v>
      </c>
      <c r="T91" s="1">
        <v>7</v>
      </c>
      <c r="U91" s="1" t="s">
        <v>34</v>
      </c>
      <c r="V91" s="1">
        <v>450</v>
      </c>
    </row>
    <row r="92" spans="2:22" x14ac:dyDescent="0.3">
      <c r="B92" s="1" t="s">
        <v>237</v>
      </c>
      <c r="C92" s="2">
        <v>46115</v>
      </c>
      <c r="D92" s="1" t="s">
        <v>22</v>
      </c>
      <c r="E92" s="1" t="s">
        <v>59</v>
      </c>
      <c r="F92" s="1" t="s">
        <v>60</v>
      </c>
      <c r="G92" s="1" t="s">
        <v>61</v>
      </c>
      <c r="H92" s="1" t="s">
        <v>26</v>
      </c>
      <c r="I92" s="1" t="s">
        <v>238</v>
      </c>
      <c r="J92" s="1" t="s">
        <v>41</v>
      </c>
      <c r="K92" s="1" t="s">
        <v>63</v>
      </c>
      <c r="L92" s="1"/>
      <c r="M92" s="1" t="s">
        <v>31</v>
      </c>
      <c r="N92" s="1" t="s">
        <v>32</v>
      </c>
      <c r="O92" s="1" t="s">
        <v>33</v>
      </c>
      <c r="P92" s="2">
        <v>46120</v>
      </c>
      <c r="Q92" s="2">
        <v>46116</v>
      </c>
      <c r="R92" s="2">
        <v>46117</v>
      </c>
      <c r="S92" s="1">
        <v>3</v>
      </c>
      <c r="T92" s="1">
        <v>2</v>
      </c>
      <c r="U92" s="1" t="s">
        <v>34</v>
      </c>
      <c r="V92" s="1"/>
    </row>
    <row r="93" spans="2:22" x14ac:dyDescent="0.3">
      <c r="B93" s="1" t="s">
        <v>239</v>
      </c>
      <c r="C93" s="2">
        <v>46116</v>
      </c>
      <c r="D93" s="1" t="s">
        <v>36</v>
      </c>
      <c r="E93" s="1" t="s">
        <v>65</v>
      </c>
      <c r="F93" s="1" t="s">
        <v>66</v>
      </c>
      <c r="G93" s="1" t="s">
        <v>67</v>
      </c>
      <c r="H93" s="1" t="s">
        <v>26</v>
      </c>
      <c r="I93" s="1" t="s">
        <v>240</v>
      </c>
      <c r="J93" s="1" t="s">
        <v>52</v>
      </c>
      <c r="K93" s="1"/>
      <c r="L93" s="1" t="s">
        <v>69</v>
      </c>
      <c r="M93" s="1" t="s">
        <v>31</v>
      </c>
      <c r="N93" s="1" t="s">
        <v>32</v>
      </c>
      <c r="O93" s="1" t="s">
        <v>70</v>
      </c>
      <c r="P93" s="2">
        <v>46121</v>
      </c>
      <c r="Q93" s="2">
        <v>46117</v>
      </c>
      <c r="R93" s="2">
        <v>46118</v>
      </c>
      <c r="S93" s="1">
        <v>5</v>
      </c>
      <c r="T93" s="1">
        <v>4</v>
      </c>
      <c r="U93" s="1" t="s">
        <v>34</v>
      </c>
      <c r="V93" s="1">
        <v>8000</v>
      </c>
    </row>
    <row r="94" spans="2:22" x14ac:dyDescent="0.3">
      <c r="B94" s="1" t="s">
        <v>241</v>
      </c>
      <c r="C94" s="2">
        <v>46117</v>
      </c>
      <c r="D94" s="1" t="s">
        <v>47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242</v>
      </c>
      <c r="J94" s="1" t="s">
        <v>28</v>
      </c>
      <c r="K94" s="1" t="s">
        <v>29</v>
      </c>
      <c r="L94" s="1" t="s">
        <v>30</v>
      </c>
      <c r="M94" s="1" t="s">
        <v>31</v>
      </c>
      <c r="N94" s="1" t="s">
        <v>32</v>
      </c>
      <c r="O94" s="1" t="s">
        <v>33</v>
      </c>
      <c r="P94" s="2">
        <v>46122</v>
      </c>
      <c r="Q94" s="2">
        <v>46118</v>
      </c>
      <c r="R94" s="2">
        <v>46119</v>
      </c>
      <c r="S94" s="1">
        <v>5</v>
      </c>
      <c r="T94" s="1">
        <v>3</v>
      </c>
      <c r="U94" s="1" t="s">
        <v>34</v>
      </c>
      <c r="V94" s="1">
        <v>5000</v>
      </c>
    </row>
    <row r="95" spans="2:22" x14ac:dyDescent="0.3">
      <c r="B95" s="1" t="s">
        <v>243</v>
      </c>
      <c r="C95" s="2">
        <v>46118</v>
      </c>
      <c r="D95" s="1" t="s">
        <v>58</v>
      </c>
      <c r="E95" s="1" t="s">
        <v>37</v>
      </c>
      <c r="F95" s="1" t="s">
        <v>38</v>
      </c>
      <c r="G95" s="1" t="s">
        <v>39</v>
      </c>
      <c r="H95" s="1" t="s">
        <v>26</v>
      </c>
      <c r="I95" s="1" t="s">
        <v>244</v>
      </c>
      <c r="J95" s="1" t="s">
        <v>41</v>
      </c>
      <c r="K95" s="1"/>
      <c r="L95" s="1" t="s">
        <v>42</v>
      </c>
      <c r="M95" s="1" t="s">
        <v>31</v>
      </c>
      <c r="N95" s="1" t="s">
        <v>43</v>
      </c>
      <c r="O95" s="1" t="s">
        <v>44</v>
      </c>
      <c r="P95" s="2">
        <v>46123</v>
      </c>
      <c r="Q95" s="2">
        <v>46119</v>
      </c>
      <c r="R95" s="2">
        <v>46120</v>
      </c>
      <c r="S95" s="1">
        <v>8</v>
      </c>
      <c r="T95" s="1">
        <v>9</v>
      </c>
      <c r="U95" s="1" t="s">
        <v>45</v>
      </c>
      <c r="V95" s="1">
        <v>12000</v>
      </c>
    </row>
    <row r="96" spans="2:22" x14ac:dyDescent="0.3">
      <c r="B96" s="1" t="s">
        <v>245</v>
      </c>
      <c r="C96" s="2">
        <v>46119</v>
      </c>
      <c r="D96" s="1" t="s">
        <v>22</v>
      </c>
      <c r="E96" s="1" t="s">
        <v>48</v>
      </c>
      <c r="F96" s="1" t="s">
        <v>49</v>
      </c>
      <c r="G96" s="1" t="s">
        <v>50</v>
      </c>
      <c r="H96" s="1" t="s">
        <v>26</v>
      </c>
      <c r="I96" s="1" t="s">
        <v>246</v>
      </c>
      <c r="J96" s="1" t="s">
        <v>52</v>
      </c>
      <c r="K96" s="1" t="s">
        <v>53</v>
      </c>
      <c r="L96" s="1" t="s">
        <v>54</v>
      </c>
      <c r="M96" s="1" t="s">
        <v>31</v>
      </c>
      <c r="N96" s="1" t="s">
        <v>55</v>
      </c>
      <c r="O96" s="1" t="s">
        <v>56</v>
      </c>
      <c r="P96" s="2">
        <v>46124</v>
      </c>
      <c r="Q96" s="2">
        <v>46120</v>
      </c>
      <c r="R96" s="2">
        <v>46121</v>
      </c>
      <c r="S96" s="1">
        <v>10</v>
      </c>
      <c r="T96" s="1">
        <v>7</v>
      </c>
      <c r="U96" s="1" t="s">
        <v>34</v>
      </c>
      <c r="V96" s="1">
        <v>450</v>
      </c>
    </row>
    <row r="97" spans="2:22" x14ac:dyDescent="0.3">
      <c r="B97" s="1" t="s">
        <v>247</v>
      </c>
      <c r="C97" s="2">
        <v>46120</v>
      </c>
      <c r="D97" s="1" t="s">
        <v>36</v>
      </c>
      <c r="E97" s="1" t="s">
        <v>59</v>
      </c>
      <c r="F97" s="1" t="s">
        <v>60</v>
      </c>
      <c r="G97" s="1" t="s">
        <v>61</v>
      </c>
      <c r="H97" s="1" t="s">
        <v>26</v>
      </c>
      <c r="I97" s="1" t="s">
        <v>248</v>
      </c>
      <c r="J97" s="1" t="s">
        <v>28</v>
      </c>
      <c r="K97" s="1" t="s">
        <v>63</v>
      </c>
      <c r="L97" s="1"/>
      <c r="M97" s="1" t="s">
        <v>31</v>
      </c>
      <c r="N97" s="1" t="s">
        <v>32</v>
      </c>
      <c r="O97" s="1" t="s">
        <v>33</v>
      </c>
      <c r="P97" s="2">
        <v>46125</v>
      </c>
      <c r="Q97" s="2">
        <v>46121</v>
      </c>
      <c r="R97" s="2">
        <v>46122</v>
      </c>
      <c r="S97" s="1">
        <v>3</v>
      </c>
      <c r="T97" s="1">
        <v>2</v>
      </c>
      <c r="U97" s="1" t="s">
        <v>34</v>
      </c>
      <c r="V97" s="1"/>
    </row>
    <row r="98" spans="2:22" x14ac:dyDescent="0.3">
      <c r="B98" s="1" t="s">
        <v>249</v>
      </c>
      <c r="C98" s="2">
        <v>46121</v>
      </c>
      <c r="D98" s="1" t="s">
        <v>47</v>
      </c>
      <c r="E98" s="1" t="s">
        <v>65</v>
      </c>
      <c r="F98" s="1" t="s">
        <v>66</v>
      </c>
      <c r="G98" s="1" t="s">
        <v>67</v>
      </c>
      <c r="H98" s="1" t="s">
        <v>26</v>
      </c>
      <c r="I98" s="1" t="s">
        <v>250</v>
      </c>
      <c r="J98" s="1" t="s">
        <v>41</v>
      </c>
      <c r="K98" s="1"/>
      <c r="L98" s="1" t="s">
        <v>69</v>
      </c>
      <c r="M98" s="1" t="s">
        <v>31</v>
      </c>
      <c r="N98" s="1" t="s">
        <v>32</v>
      </c>
      <c r="O98" s="1" t="s">
        <v>70</v>
      </c>
      <c r="P98" s="2">
        <v>46126</v>
      </c>
      <c r="Q98" s="2">
        <v>46122</v>
      </c>
      <c r="R98" s="2">
        <v>46123</v>
      </c>
      <c r="S98" s="1">
        <v>5</v>
      </c>
      <c r="T98" s="1">
        <v>4</v>
      </c>
      <c r="U98" s="1" t="s">
        <v>34</v>
      </c>
      <c r="V98" s="1">
        <v>8000</v>
      </c>
    </row>
    <row r="99" spans="2:22" x14ac:dyDescent="0.3">
      <c r="B99" s="1" t="s">
        <v>251</v>
      </c>
      <c r="C99" s="2">
        <v>46122</v>
      </c>
      <c r="D99" s="1" t="s">
        <v>58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252</v>
      </c>
      <c r="J99" s="1" t="s">
        <v>52</v>
      </c>
      <c r="K99" s="1" t="s">
        <v>29</v>
      </c>
      <c r="L99" s="1" t="s">
        <v>30</v>
      </c>
      <c r="M99" s="1" t="s">
        <v>31</v>
      </c>
      <c r="N99" s="1" t="s">
        <v>32</v>
      </c>
      <c r="O99" s="1" t="s">
        <v>33</v>
      </c>
      <c r="P99" s="2">
        <v>46127</v>
      </c>
      <c r="Q99" s="2">
        <v>46123</v>
      </c>
      <c r="R99" s="2">
        <v>46124</v>
      </c>
      <c r="S99" s="1">
        <v>5</v>
      </c>
      <c r="T99" s="1">
        <v>3</v>
      </c>
      <c r="U99" s="1" t="s">
        <v>34</v>
      </c>
      <c r="V99" s="1">
        <v>5000</v>
      </c>
    </row>
    <row r="100" spans="2:22" x14ac:dyDescent="0.3">
      <c r="B100" s="1" t="s">
        <v>253</v>
      </c>
      <c r="C100" s="2">
        <v>46123</v>
      </c>
      <c r="D100" s="1" t="s">
        <v>22</v>
      </c>
      <c r="E100" s="1" t="s">
        <v>37</v>
      </c>
      <c r="F100" s="1" t="s">
        <v>38</v>
      </c>
      <c r="G100" s="1" t="s">
        <v>39</v>
      </c>
      <c r="H100" s="1" t="s">
        <v>26</v>
      </c>
      <c r="I100" s="1" t="s">
        <v>254</v>
      </c>
      <c r="J100" s="1" t="s">
        <v>28</v>
      </c>
      <c r="K100" s="1"/>
      <c r="L100" s="1" t="s">
        <v>42</v>
      </c>
      <c r="M100" s="1" t="s">
        <v>31</v>
      </c>
      <c r="N100" s="1" t="s">
        <v>43</v>
      </c>
      <c r="O100" s="1" t="s">
        <v>44</v>
      </c>
      <c r="P100" s="2">
        <v>46128</v>
      </c>
      <c r="Q100" s="2">
        <v>46124</v>
      </c>
      <c r="R100" s="2">
        <v>46125</v>
      </c>
      <c r="S100" s="1">
        <v>8</v>
      </c>
      <c r="T100" s="1">
        <v>9</v>
      </c>
      <c r="U100" s="1" t="s">
        <v>45</v>
      </c>
      <c r="V100" s="1">
        <v>12000</v>
      </c>
    </row>
    <row r="101" spans="2:22" x14ac:dyDescent="0.3">
      <c r="B101" s="1" t="s">
        <v>255</v>
      </c>
      <c r="C101" s="2">
        <v>46124</v>
      </c>
      <c r="D101" s="1" t="s">
        <v>36</v>
      </c>
      <c r="E101" s="1" t="s">
        <v>48</v>
      </c>
      <c r="F101" s="1" t="s">
        <v>49</v>
      </c>
      <c r="G101" s="1" t="s">
        <v>50</v>
      </c>
      <c r="H101" s="1" t="s">
        <v>26</v>
      </c>
      <c r="I101" s="1" t="s">
        <v>256</v>
      </c>
      <c r="J101" s="1" t="s">
        <v>41</v>
      </c>
      <c r="K101" s="1" t="s">
        <v>53</v>
      </c>
      <c r="L101" s="1" t="s">
        <v>54</v>
      </c>
      <c r="M101" s="1" t="s">
        <v>31</v>
      </c>
      <c r="N101" s="1" t="s">
        <v>55</v>
      </c>
      <c r="O101" s="1" t="s">
        <v>56</v>
      </c>
      <c r="P101" s="2">
        <v>46129</v>
      </c>
      <c r="Q101" s="2">
        <v>46125</v>
      </c>
      <c r="R101" s="2">
        <v>46126</v>
      </c>
      <c r="S101" s="1">
        <v>10</v>
      </c>
      <c r="T101" s="1">
        <v>7</v>
      </c>
      <c r="U101" s="1" t="s">
        <v>34</v>
      </c>
      <c r="V101" s="1">
        <v>450</v>
      </c>
    </row>
    <row r="102" spans="2:22" x14ac:dyDescent="0.3">
      <c r="B102" s="1" t="s">
        <v>257</v>
      </c>
      <c r="C102" s="2">
        <v>46125</v>
      </c>
      <c r="D102" s="1" t="s">
        <v>47</v>
      </c>
      <c r="E102" s="1" t="s">
        <v>59</v>
      </c>
      <c r="F102" s="1" t="s">
        <v>60</v>
      </c>
      <c r="G102" s="1" t="s">
        <v>61</v>
      </c>
      <c r="H102" s="1" t="s">
        <v>26</v>
      </c>
      <c r="I102" s="1" t="s">
        <v>258</v>
      </c>
      <c r="J102" s="1" t="s">
        <v>52</v>
      </c>
      <c r="K102" s="1" t="s">
        <v>63</v>
      </c>
      <c r="L102" s="1"/>
      <c r="M102" s="1" t="s">
        <v>31</v>
      </c>
      <c r="N102" s="1" t="s">
        <v>32</v>
      </c>
      <c r="O102" s="1" t="s">
        <v>33</v>
      </c>
      <c r="P102" s="2">
        <v>46130</v>
      </c>
      <c r="Q102" s="2">
        <v>46126</v>
      </c>
      <c r="R102" s="2">
        <v>46127</v>
      </c>
      <c r="S102" s="1">
        <v>3</v>
      </c>
      <c r="T102" s="1">
        <v>2</v>
      </c>
      <c r="U102" s="1" t="s">
        <v>34</v>
      </c>
      <c r="V102" s="1"/>
    </row>
    <row r="103" spans="2:22" x14ac:dyDescent="0.3">
      <c r="B103" s="1" t="s">
        <v>259</v>
      </c>
      <c r="C103" s="2">
        <v>46126</v>
      </c>
      <c r="D103" s="1" t="s">
        <v>58</v>
      </c>
      <c r="E103" s="1" t="s">
        <v>65</v>
      </c>
      <c r="F103" s="1" t="s">
        <v>66</v>
      </c>
      <c r="G103" s="1" t="s">
        <v>67</v>
      </c>
      <c r="H103" s="1" t="s">
        <v>26</v>
      </c>
      <c r="I103" s="1" t="s">
        <v>260</v>
      </c>
      <c r="J103" s="1" t="s">
        <v>28</v>
      </c>
      <c r="K103" s="1"/>
      <c r="L103" s="1" t="s">
        <v>69</v>
      </c>
      <c r="M103" s="1" t="s">
        <v>31</v>
      </c>
      <c r="N103" s="1" t="s">
        <v>32</v>
      </c>
      <c r="O103" s="1" t="s">
        <v>70</v>
      </c>
      <c r="P103" s="2">
        <v>46131</v>
      </c>
      <c r="Q103" s="2">
        <v>46127</v>
      </c>
      <c r="R103" s="2">
        <v>46128</v>
      </c>
      <c r="S103" s="1">
        <v>5</v>
      </c>
      <c r="T103" s="1">
        <v>4</v>
      </c>
      <c r="U103" s="1" t="s">
        <v>34</v>
      </c>
      <c r="V103" s="1">
        <v>8000</v>
      </c>
    </row>
    <row r="104" spans="2:22" x14ac:dyDescent="0.3">
      <c r="B104" s="1" t="s">
        <v>261</v>
      </c>
      <c r="C104" s="2">
        <v>46127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262</v>
      </c>
      <c r="J104" s="1" t="s">
        <v>41</v>
      </c>
      <c r="K104" s="1" t="s">
        <v>29</v>
      </c>
      <c r="L104" s="1" t="s">
        <v>30</v>
      </c>
      <c r="M104" s="1" t="s">
        <v>31</v>
      </c>
      <c r="N104" s="1" t="s">
        <v>32</v>
      </c>
      <c r="O104" s="1" t="s">
        <v>33</v>
      </c>
      <c r="P104" s="2">
        <v>46132</v>
      </c>
      <c r="Q104" s="2">
        <v>46128</v>
      </c>
      <c r="R104" s="2">
        <v>46129</v>
      </c>
      <c r="S104" s="1">
        <v>5</v>
      </c>
      <c r="T104" s="1">
        <v>3</v>
      </c>
      <c r="U104" s="1" t="s">
        <v>34</v>
      </c>
      <c r="V104" s="1">
        <v>5000</v>
      </c>
    </row>
    <row r="105" spans="2:22" x14ac:dyDescent="0.3">
      <c r="B105" s="1" t="s">
        <v>263</v>
      </c>
      <c r="C105" s="2">
        <v>46128</v>
      </c>
      <c r="D105" s="1" t="s">
        <v>36</v>
      </c>
      <c r="E105" s="1" t="s">
        <v>37</v>
      </c>
      <c r="F105" s="1" t="s">
        <v>38</v>
      </c>
      <c r="G105" s="1" t="s">
        <v>39</v>
      </c>
      <c r="H105" s="1" t="s">
        <v>26</v>
      </c>
      <c r="I105" s="1" t="s">
        <v>264</v>
      </c>
      <c r="J105" s="1" t="s">
        <v>52</v>
      </c>
      <c r="K105" s="1"/>
      <c r="L105" s="1" t="s">
        <v>42</v>
      </c>
      <c r="M105" s="1" t="s">
        <v>31</v>
      </c>
      <c r="N105" s="1" t="s">
        <v>43</v>
      </c>
      <c r="O105" s="1" t="s">
        <v>44</v>
      </c>
      <c r="P105" s="2">
        <v>46133</v>
      </c>
      <c r="Q105" s="2">
        <v>46129</v>
      </c>
      <c r="R105" s="2">
        <v>46130</v>
      </c>
      <c r="S105" s="1">
        <v>8</v>
      </c>
      <c r="T105" s="1">
        <v>9</v>
      </c>
      <c r="U105" s="1" t="s">
        <v>45</v>
      </c>
      <c r="V105" s="1">
        <v>12000</v>
      </c>
    </row>
    <row r="106" spans="2:22" x14ac:dyDescent="0.3">
      <c r="B106" s="1" t="s">
        <v>265</v>
      </c>
      <c r="C106" s="2">
        <v>46129</v>
      </c>
      <c r="D106" s="1" t="s">
        <v>47</v>
      </c>
      <c r="E106" s="1" t="s">
        <v>48</v>
      </c>
      <c r="F106" s="1" t="s">
        <v>49</v>
      </c>
      <c r="G106" s="1" t="s">
        <v>50</v>
      </c>
      <c r="H106" s="1" t="s">
        <v>26</v>
      </c>
      <c r="I106" s="1" t="s">
        <v>266</v>
      </c>
      <c r="J106" s="1" t="s">
        <v>28</v>
      </c>
      <c r="K106" s="1" t="s">
        <v>53</v>
      </c>
      <c r="L106" s="1" t="s">
        <v>54</v>
      </c>
      <c r="M106" s="1" t="s">
        <v>31</v>
      </c>
      <c r="N106" s="1" t="s">
        <v>55</v>
      </c>
      <c r="O106" s="1" t="s">
        <v>56</v>
      </c>
      <c r="P106" s="2">
        <v>46134</v>
      </c>
      <c r="Q106" s="2">
        <v>46130</v>
      </c>
      <c r="R106" s="2">
        <v>46131</v>
      </c>
      <c r="S106" s="1">
        <v>10</v>
      </c>
      <c r="T106" s="1">
        <v>7</v>
      </c>
      <c r="U106" s="1" t="s">
        <v>34</v>
      </c>
      <c r="V106" s="1">
        <v>450</v>
      </c>
    </row>
    <row r="107" spans="2:22" x14ac:dyDescent="0.3">
      <c r="B107" s="1" t="s">
        <v>267</v>
      </c>
      <c r="C107" s="2">
        <v>46130</v>
      </c>
      <c r="D107" s="1" t="s">
        <v>58</v>
      </c>
      <c r="E107" s="1" t="s">
        <v>59</v>
      </c>
      <c r="F107" s="1" t="s">
        <v>60</v>
      </c>
      <c r="G107" s="1" t="s">
        <v>61</v>
      </c>
      <c r="H107" s="1" t="s">
        <v>26</v>
      </c>
      <c r="I107" s="1" t="s">
        <v>268</v>
      </c>
      <c r="J107" s="1" t="s">
        <v>41</v>
      </c>
      <c r="K107" s="1" t="s">
        <v>63</v>
      </c>
      <c r="L107" s="1"/>
      <c r="M107" s="1" t="s">
        <v>31</v>
      </c>
      <c r="N107" s="1" t="s">
        <v>32</v>
      </c>
      <c r="O107" s="1" t="s">
        <v>33</v>
      </c>
      <c r="P107" s="2">
        <v>46135</v>
      </c>
      <c r="Q107" s="2">
        <v>46131</v>
      </c>
      <c r="R107" s="2">
        <v>46132</v>
      </c>
      <c r="S107" s="1">
        <v>3</v>
      </c>
      <c r="T107" s="1">
        <v>2</v>
      </c>
      <c r="U107" s="1" t="s">
        <v>34</v>
      </c>
      <c r="V107" s="1"/>
    </row>
    <row r="108" spans="2:22" x14ac:dyDescent="0.3">
      <c r="B108" s="1" t="s">
        <v>269</v>
      </c>
      <c r="C108" s="2">
        <v>46131</v>
      </c>
      <c r="D108" s="1" t="s">
        <v>22</v>
      </c>
      <c r="E108" s="1" t="s">
        <v>65</v>
      </c>
      <c r="F108" s="1" t="s">
        <v>66</v>
      </c>
      <c r="G108" s="1" t="s">
        <v>67</v>
      </c>
      <c r="H108" s="1" t="s">
        <v>26</v>
      </c>
      <c r="I108" s="1" t="s">
        <v>270</v>
      </c>
      <c r="J108" s="1" t="s">
        <v>52</v>
      </c>
      <c r="K108" s="1"/>
      <c r="L108" s="1" t="s">
        <v>69</v>
      </c>
      <c r="M108" s="1" t="s">
        <v>31</v>
      </c>
      <c r="N108" s="1" t="s">
        <v>32</v>
      </c>
      <c r="O108" s="1" t="s">
        <v>70</v>
      </c>
      <c r="P108" s="2">
        <v>46136</v>
      </c>
      <c r="Q108" s="2">
        <v>46132</v>
      </c>
      <c r="R108" s="2">
        <v>46133</v>
      </c>
      <c r="S108" s="1">
        <v>5</v>
      </c>
      <c r="T108" s="1">
        <v>4</v>
      </c>
      <c r="U108" s="1" t="s">
        <v>34</v>
      </c>
      <c r="V108" s="1">
        <v>8000</v>
      </c>
    </row>
    <row r="109" spans="2:22" x14ac:dyDescent="0.3">
      <c r="B109" s="1" t="s">
        <v>271</v>
      </c>
      <c r="C109" s="2">
        <v>46132</v>
      </c>
      <c r="D109" s="1" t="s">
        <v>36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272</v>
      </c>
      <c r="J109" s="1" t="s">
        <v>28</v>
      </c>
      <c r="K109" s="1" t="s">
        <v>29</v>
      </c>
      <c r="L109" s="1" t="s">
        <v>30</v>
      </c>
      <c r="M109" s="1" t="s">
        <v>31</v>
      </c>
      <c r="N109" s="1" t="s">
        <v>32</v>
      </c>
      <c r="O109" s="1" t="s">
        <v>33</v>
      </c>
      <c r="P109" s="2">
        <v>46137</v>
      </c>
      <c r="Q109" s="2">
        <v>46133</v>
      </c>
      <c r="R109" s="2">
        <v>46134</v>
      </c>
      <c r="S109" s="1">
        <v>5</v>
      </c>
      <c r="T109" s="1">
        <v>3</v>
      </c>
      <c r="U109" s="1" t="s">
        <v>34</v>
      </c>
      <c r="V109" s="1">
        <v>5000</v>
      </c>
    </row>
    <row r="110" spans="2:22" x14ac:dyDescent="0.3">
      <c r="B110" s="1" t="s">
        <v>273</v>
      </c>
      <c r="C110" s="2">
        <v>46133</v>
      </c>
      <c r="D110" s="1" t="s">
        <v>47</v>
      </c>
      <c r="E110" s="1" t="s">
        <v>37</v>
      </c>
      <c r="F110" s="1" t="s">
        <v>38</v>
      </c>
      <c r="G110" s="1" t="s">
        <v>39</v>
      </c>
      <c r="H110" s="1" t="s">
        <v>26</v>
      </c>
      <c r="I110" s="1" t="s">
        <v>274</v>
      </c>
      <c r="J110" s="1" t="s">
        <v>41</v>
      </c>
      <c r="K110" s="1"/>
      <c r="L110" s="1" t="s">
        <v>42</v>
      </c>
      <c r="M110" s="1" t="s">
        <v>31</v>
      </c>
      <c r="N110" s="1" t="s">
        <v>43</v>
      </c>
      <c r="O110" s="1" t="s">
        <v>44</v>
      </c>
      <c r="P110" s="2">
        <v>46138</v>
      </c>
      <c r="Q110" s="2">
        <v>46134</v>
      </c>
      <c r="R110" s="2">
        <v>46135</v>
      </c>
      <c r="S110" s="1">
        <v>8</v>
      </c>
      <c r="T110" s="1">
        <v>9</v>
      </c>
      <c r="U110" s="1" t="s">
        <v>45</v>
      </c>
      <c r="V110" s="1">
        <v>12000</v>
      </c>
    </row>
    <row r="111" spans="2:22" x14ac:dyDescent="0.3">
      <c r="B111" s="1" t="s">
        <v>275</v>
      </c>
      <c r="C111" s="2">
        <v>46134</v>
      </c>
      <c r="D111" s="1" t="s">
        <v>58</v>
      </c>
      <c r="E111" s="1" t="s">
        <v>48</v>
      </c>
      <c r="F111" s="1" t="s">
        <v>49</v>
      </c>
      <c r="G111" s="1" t="s">
        <v>50</v>
      </c>
      <c r="H111" s="1" t="s">
        <v>26</v>
      </c>
      <c r="I111" s="1" t="s">
        <v>276</v>
      </c>
      <c r="J111" s="1" t="s">
        <v>52</v>
      </c>
      <c r="K111" s="1" t="s">
        <v>53</v>
      </c>
      <c r="L111" s="1" t="s">
        <v>54</v>
      </c>
      <c r="M111" s="1" t="s">
        <v>31</v>
      </c>
      <c r="N111" s="1" t="s">
        <v>55</v>
      </c>
      <c r="O111" s="1" t="s">
        <v>56</v>
      </c>
      <c r="P111" s="2">
        <v>46139</v>
      </c>
      <c r="Q111" s="2">
        <v>46135</v>
      </c>
      <c r="R111" s="2">
        <v>46136</v>
      </c>
      <c r="S111" s="1">
        <v>10</v>
      </c>
      <c r="T111" s="1">
        <v>7</v>
      </c>
      <c r="U111" s="1" t="s">
        <v>34</v>
      </c>
      <c r="V111" s="1">
        <v>450</v>
      </c>
    </row>
    <row r="112" spans="2:22" x14ac:dyDescent="0.3">
      <c r="B112" s="1" t="s">
        <v>277</v>
      </c>
      <c r="C112" s="2">
        <v>46135</v>
      </c>
      <c r="D112" s="1" t="s">
        <v>22</v>
      </c>
      <c r="E112" s="1" t="s">
        <v>59</v>
      </c>
      <c r="F112" s="1" t="s">
        <v>60</v>
      </c>
      <c r="G112" s="1" t="s">
        <v>61</v>
      </c>
      <c r="H112" s="1" t="s">
        <v>26</v>
      </c>
      <c r="I112" s="1" t="s">
        <v>278</v>
      </c>
      <c r="J112" s="1" t="s">
        <v>28</v>
      </c>
      <c r="K112" s="1" t="s">
        <v>63</v>
      </c>
      <c r="L112" s="1"/>
      <c r="M112" s="1" t="s">
        <v>31</v>
      </c>
      <c r="N112" s="1" t="s">
        <v>32</v>
      </c>
      <c r="O112" s="1" t="s">
        <v>33</v>
      </c>
      <c r="P112" s="2">
        <v>46140</v>
      </c>
      <c r="Q112" s="2">
        <v>46136</v>
      </c>
      <c r="R112" s="2">
        <v>46137</v>
      </c>
      <c r="S112" s="1">
        <v>3</v>
      </c>
      <c r="T112" s="1">
        <v>2</v>
      </c>
      <c r="U112" s="1" t="s">
        <v>34</v>
      </c>
      <c r="V112" s="1"/>
    </row>
    <row r="113" spans="2:22" x14ac:dyDescent="0.3">
      <c r="B113" s="1" t="s">
        <v>279</v>
      </c>
      <c r="C113" s="2">
        <v>46136</v>
      </c>
      <c r="D113" s="1" t="s">
        <v>36</v>
      </c>
      <c r="E113" s="1" t="s">
        <v>65</v>
      </c>
      <c r="F113" s="1" t="s">
        <v>66</v>
      </c>
      <c r="G113" s="1" t="s">
        <v>67</v>
      </c>
      <c r="H113" s="1" t="s">
        <v>26</v>
      </c>
      <c r="I113" s="1" t="s">
        <v>280</v>
      </c>
      <c r="J113" s="1" t="s">
        <v>41</v>
      </c>
      <c r="K113" s="1"/>
      <c r="L113" s="1" t="s">
        <v>69</v>
      </c>
      <c r="M113" s="1" t="s">
        <v>31</v>
      </c>
      <c r="N113" s="1" t="s">
        <v>32</v>
      </c>
      <c r="O113" s="1" t="s">
        <v>70</v>
      </c>
      <c r="P113" s="2">
        <v>46141</v>
      </c>
      <c r="Q113" s="2">
        <v>46137</v>
      </c>
      <c r="R113" s="2">
        <v>46138</v>
      </c>
      <c r="S113" s="1">
        <v>5</v>
      </c>
      <c r="T113" s="1">
        <v>4</v>
      </c>
      <c r="U113" s="1" t="s">
        <v>34</v>
      </c>
      <c r="V113" s="1">
        <v>8000</v>
      </c>
    </row>
    <row r="114" spans="2:22" x14ac:dyDescent="0.3">
      <c r="B114" s="1" t="s">
        <v>281</v>
      </c>
      <c r="C114" s="2">
        <v>46137</v>
      </c>
      <c r="D114" s="1" t="s">
        <v>47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282</v>
      </c>
      <c r="J114" s="1" t="s">
        <v>52</v>
      </c>
      <c r="K114" s="1" t="s">
        <v>29</v>
      </c>
      <c r="L114" s="1" t="s">
        <v>30</v>
      </c>
      <c r="M114" s="1" t="s">
        <v>31</v>
      </c>
      <c r="N114" s="1" t="s">
        <v>32</v>
      </c>
      <c r="O114" s="1" t="s">
        <v>33</v>
      </c>
      <c r="P114" s="2">
        <v>46142</v>
      </c>
      <c r="Q114" s="2">
        <v>46138</v>
      </c>
      <c r="R114" s="2">
        <v>46139</v>
      </c>
      <c r="S114" s="1">
        <v>5</v>
      </c>
      <c r="T114" s="1">
        <v>3</v>
      </c>
      <c r="U114" s="1" t="s">
        <v>34</v>
      </c>
      <c r="V114" s="1">
        <v>5000</v>
      </c>
    </row>
    <row r="115" spans="2:22" x14ac:dyDescent="0.3">
      <c r="B115" s="1" t="s">
        <v>283</v>
      </c>
      <c r="C115" s="2">
        <v>46138</v>
      </c>
      <c r="D115" s="1" t="s">
        <v>58</v>
      </c>
      <c r="E115" s="1" t="s">
        <v>37</v>
      </c>
      <c r="F115" s="1" t="s">
        <v>38</v>
      </c>
      <c r="G115" s="1" t="s">
        <v>39</v>
      </c>
      <c r="H115" s="1" t="s">
        <v>26</v>
      </c>
      <c r="I115" s="1" t="s">
        <v>284</v>
      </c>
      <c r="J115" s="1" t="s">
        <v>28</v>
      </c>
      <c r="K115" s="1"/>
      <c r="L115" s="1" t="s">
        <v>42</v>
      </c>
      <c r="M115" s="1" t="s">
        <v>31</v>
      </c>
      <c r="N115" s="1" t="s">
        <v>43</v>
      </c>
      <c r="O115" s="1" t="s">
        <v>44</v>
      </c>
      <c r="P115" s="2">
        <v>46143</v>
      </c>
      <c r="Q115" s="2">
        <v>46139</v>
      </c>
      <c r="R115" s="2">
        <v>46140</v>
      </c>
      <c r="S115" s="1">
        <v>8</v>
      </c>
      <c r="T115" s="1">
        <v>9</v>
      </c>
      <c r="U115" s="1" t="s">
        <v>45</v>
      </c>
      <c r="V115" s="1">
        <v>12000</v>
      </c>
    </row>
    <row r="116" spans="2:22" x14ac:dyDescent="0.3">
      <c r="B116" s="1" t="s">
        <v>285</v>
      </c>
      <c r="C116" s="2">
        <v>46139</v>
      </c>
      <c r="D116" s="1" t="s">
        <v>22</v>
      </c>
      <c r="E116" s="1" t="s">
        <v>48</v>
      </c>
      <c r="F116" s="1" t="s">
        <v>49</v>
      </c>
      <c r="G116" s="1" t="s">
        <v>50</v>
      </c>
      <c r="H116" s="1" t="s">
        <v>26</v>
      </c>
      <c r="I116" s="1" t="s">
        <v>286</v>
      </c>
      <c r="J116" s="1" t="s">
        <v>41</v>
      </c>
      <c r="K116" s="1" t="s">
        <v>53</v>
      </c>
      <c r="L116" s="1" t="s">
        <v>54</v>
      </c>
      <c r="M116" s="1" t="s">
        <v>31</v>
      </c>
      <c r="N116" s="1" t="s">
        <v>55</v>
      </c>
      <c r="O116" s="1" t="s">
        <v>56</v>
      </c>
      <c r="P116" s="2">
        <v>46144</v>
      </c>
      <c r="Q116" s="2">
        <v>46140</v>
      </c>
      <c r="R116" s="2">
        <v>46141</v>
      </c>
      <c r="S116" s="1">
        <v>10</v>
      </c>
      <c r="T116" s="1">
        <v>7</v>
      </c>
      <c r="U116" s="1" t="s">
        <v>34</v>
      </c>
      <c r="V116" s="1">
        <v>450</v>
      </c>
    </row>
    <row r="117" spans="2:22" x14ac:dyDescent="0.3">
      <c r="B117" s="1" t="s">
        <v>287</v>
      </c>
      <c r="C117" s="2">
        <v>46140</v>
      </c>
      <c r="D117" s="1" t="s">
        <v>36</v>
      </c>
      <c r="E117" s="1" t="s">
        <v>59</v>
      </c>
      <c r="F117" s="1" t="s">
        <v>60</v>
      </c>
      <c r="G117" s="1" t="s">
        <v>61</v>
      </c>
      <c r="H117" s="1" t="s">
        <v>26</v>
      </c>
      <c r="I117" s="1" t="s">
        <v>288</v>
      </c>
      <c r="J117" s="1" t="s">
        <v>52</v>
      </c>
      <c r="K117" s="1" t="s">
        <v>63</v>
      </c>
      <c r="L117" s="1"/>
      <c r="M117" s="1" t="s">
        <v>31</v>
      </c>
      <c r="N117" s="1" t="s">
        <v>32</v>
      </c>
      <c r="O117" s="1" t="s">
        <v>33</v>
      </c>
      <c r="P117" s="2">
        <v>46145</v>
      </c>
      <c r="Q117" s="2">
        <v>46141</v>
      </c>
      <c r="R117" s="2">
        <v>46142</v>
      </c>
      <c r="S117" s="1">
        <v>3</v>
      </c>
      <c r="T117" s="1">
        <v>2</v>
      </c>
      <c r="U117" s="1" t="s">
        <v>34</v>
      </c>
      <c r="V117" s="1"/>
    </row>
    <row r="118" spans="2:22" x14ac:dyDescent="0.3">
      <c r="B118" s="1" t="s">
        <v>289</v>
      </c>
      <c r="C118" s="2">
        <v>46141</v>
      </c>
      <c r="D118" s="1" t="s">
        <v>47</v>
      </c>
      <c r="E118" s="1" t="s">
        <v>65</v>
      </c>
      <c r="F118" s="1" t="s">
        <v>66</v>
      </c>
      <c r="G118" s="1" t="s">
        <v>67</v>
      </c>
      <c r="H118" s="1" t="s">
        <v>26</v>
      </c>
      <c r="I118" s="1" t="s">
        <v>290</v>
      </c>
      <c r="J118" s="1" t="s">
        <v>28</v>
      </c>
      <c r="K118" s="1"/>
      <c r="L118" s="1" t="s">
        <v>69</v>
      </c>
      <c r="M118" s="1" t="s">
        <v>31</v>
      </c>
      <c r="N118" s="1" t="s">
        <v>32</v>
      </c>
      <c r="O118" s="1" t="s">
        <v>70</v>
      </c>
      <c r="P118" s="2">
        <v>46146</v>
      </c>
      <c r="Q118" s="2">
        <v>46142</v>
      </c>
      <c r="R118" s="2">
        <v>46143</v>
      </c>
      <c r="S118" s="1">
        <v>5</v>
      </c>
      <c r="T118" s="1">
        <v>4</v>
      </c>
      <c r="U118" s="1" t="s">
        <v>34</v>
      </c>
      <c r="V118" s="1">
        <v>8000</v>
      </c>
    </row>
    <row r="119" spans="2:22" x14ac:dyDescent="0.3">
      <c r="B119" s="1" t="s">
        <v>291</v>
      </c>
      <c r="C119" s="2">
        <v>46142</v>
      </c>
      <c r="D119" s="1" t="s">
        <v>58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292</v>
      </c>
      <c r="J119" s="1" t="s">
        <v>41</v>
      </c>
      <c r="K119" s="1" t="s">
        <v>29</v>
      </c>
      <c r="L119" s="1" t="s">
        <v>30</v>
      </c>
      <c r="M119" s="1" t="s">
        <v>31</v>
      </c>
      <c r="N119" s="1" t="s">
        <v>32</v>
      </c>
      <c r="O119" s="1" t="s">
        <v>33</v>
      </c>
      <c r="P119" s="2">
        <v>46147</v>
      </c>
      <c r="Q119" s="2">
        <v>46143</v>
      </c>
      <c r="R119" s="2">
        <v>46144</v>
      </c>
      <c r="S119" s="1">
        <v>5</v>
      </c>
      <c r="T119" s="1">
        <v>3</v>
      </c>
      <c r="U119" s="1" t="s">
        <v>34</v>
      </c>
      <c r="V119" s="1">
        <v>5000</v>
      </c>
    </row>
    <row r="120" spans="2:22" x14ac:dyDescent="0.3">
      <c r="B120" s="1" t="s">
        <v>293</v>
      </c>
      <c r="C120" s="2">
        <v>46143</v>
      </c>
      <c r="D120" s="1" t="s">
        <v>22</v>
      </c>
      <c r="E120" s="1" t="s">
        <v>37</v>
      </c>
      <c r="F120" s="1" t="s">
        <v>38</v>
      </c>
      <c r="G120" s="1" t="s">
        <v>39</v>
      </c>
      <c r="H120" s="1" t="s">
        <v>26</v>
      </c>
      <c r="I120" s="1" t="s">
        <v>294</v>
      </c>
      <c r="J120" s="1" t="s">
        <v>52</v>
      </c>
      <c r="K120" s="1"/>
      <c r="L120" s="1" t="s">
        <v>42</v>
      </c>
      <c r="M120" s="1" t="s">
        <v>31</v>
      </c>
      <c r="N120" s="1" t="s">
        <v>43</v>
      </c>
      <c r="O120" s="1" t="s">
        <v>44</v>
      </c>
      <c r="P120" s="2">
        <v>46148</v>
      </c>
      <c r="Q120" s="2">
        <v>46144</v>
      </c>
      <c r="R120" s="2">
        <v>46145</v>
      </c>
      <c r="S120" s="1">
        <v>8</v>
      </c>
      <c r="T120" s="1">
        <v>9</v>
      </c>
      <c r="U120" s="1" t="s">
        <v>45</v>
      </c>
      <c r="V120" s="1">
        <v>12000</v>
      </c>
    </row>
    <row r="121" spans="2:22" x14ac:dyDescent="0.3">
      <c r="B121" s="1" t="s">
        <v>295</v>
      </c>
      <c r="C121" s="2">
        <v>46144</v>
      </c>
      <c r="D121" s="1" t="s">
        <v>36</v>
      </c>
      <c r="E121" s="1" t="s">
        <v>48</v>
      </c>
      <c r="F121" s="1" t="s">
        <v>49</v>
      </c>
      <c r="G121" s="1" t="s">
        <v>50</v>
      </c>
      <c r="H121" s="1" t="s">
        <v>26</v>
      </c>
      <c r="I121" s="1" t="s">
        <v>296</v>
      </c>
      <c r="J121" s="1" t="s">
        <v>28</v>
      </c>
      <c r="K121" s="1" t="s">
        <v>53</v>
      </c>
      <c r="L121" s="1" t="s">
        <v>54</v>
      </c>
      <c r="M121" s="1" t="s">
        <v>31</v>
      </c>
      <c r="N121" s="1" t="s">
        <v>55</v>
      </c>
      <c r="O121" s="1" t="s">
        <v>56</v>
      </c>
      <c r="P121" s="2">
        <v>46149</v>
      </c>
      <c r="Q121" s="2">
        <v>46145</v>
      </c>
      <c r="R121" s="2">
        <v>46146</v>
      </c>
      <c r="S121" s="1">
        <v>10</v>
      </c>
      <c r="T121" s="1">
        <v>7</v>
      </c>
      <c r="U121" s="1" t="s">
        <v>34</v>
      </c>
      <c r="V121" s="1">
        <v>450</v>
      </c>
    </row>
    <row r="122" spans="2:22" x14ac:dyDescent="0.3">
      <c r="B122" s="1" t="s">
        <v>297</v>
      </c>
      <c r="C122" s="2">
        <v>46145</v>
      </c>
      <c r="D122" s="1" t="s">
        <v>47</v>
      </c>
      <c r="E122" s="1" t="s">
        <v>59</v>
      </c>
      <c r="F122" s="1" t="s">
        <v>60</v>
      </c>
      <c r="G122" s="1" t="s">
        <v>61</v>
      </c>
      <c r="H122" s="1" t="s">
        <v>26</v>
      </c>
      <c r="I122" s="1" t="s">
        <v>298</v>
      </c>
      <c r="J122" s="1" t="s">
        <v>41</v>
      </c>
      <c r="K122" s="1" t="s">
        <v>63</v>
      </c>
      <c r="L122" s="1"/>
      <c r="M122" s="1" t="s">
        <v>31</v>
      </c>
      <c r="N122" s="1" t="s">
        <v>32</v>
      </c>
      <c r="O122" s="1" t="s">
        <v>33</v>
      </c>
      <c r="P122" s="2">
        <v>46150</v>
      </c>
      <c r="Q122" s="2">
        <v>46146</v>
      </c>
      <c r="R122" s="2">
        <v>46147</v>
      </c>
      <c r="S122" s="1">
        <v>3</v>
      </c>
      <c r="T122" s="1">
        <v>2</v>
      </c>
      <c r="U122" s="1" t="s">
        <v>34</v>
      </c>
      <c r="V122" s="1"/>
    </row>
    <row r="123" spans="2:22" x14ac:dyDescent="0.3">
      <c r="B123" s="1" t="s">
        <v>299</v>
      </c>
      <c r="C123" s="2">
        <v>46146</v>
      </c>
      <c r="D123" s="1" t="s">
        <v>58</v>
      </c>
      <c r="E123" s="1" t="s">
        <v>65</v>
      </c>
      <c r="F123" s="1" t="s">
        <v>66</v>
      </c>
      <c r="G123" s="1" t="s">
        <v>67</v>
      </c>
      <c r="H123" s="1" t="s">
        <v>26</v>
      </c>
      <c r="I123" s="1" t="s">
        <v>300</v>
      </c>
      <c r="J123" s="1" t="s">
        <v>52</v>
      </c>
      <c r="K123" s="1"/>
      <c r="L123" s="1" t="s">
        <v>69</v>
      </c>
      <c r="M123" s="1" t="s">
        <v>31</v>
      </c>
      <c r="N123" s="1" t="s">
        <v>32</v>
      </c>
      <c r="O123" s="1" t="s">
        <v>70</v>
      </c>
      <c r="P123" s="2">
        <v>46151</v>
      </c>
      <c r="Q123" s="2">
        <v>46147</v>
      </c>
      <c r="R123" s="2">
        <v>46148</v>
      </c>
      <c r="S123" s="1">
        <v>5</v>
      </c>
      <c r="T123" s="1">
        <v>4</v>
      </c>
      <c r="U123" s="1" t="s">
        <v>34</v>
      </c>
      <c r="V123" s="1">
        <v>8000</v>
      </c>
    </row>
    <row r="124" spans="2:22" x14ac:dyDescent="0.3">
      <c r="B124" s="1" t="s">
        <v>301</v>
      </c>
      <c r="C124" s="2">
        <v>46147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302</v>
      </c>
      <c r="J124" s="1" t="s">
        <v>28</v>
      </c>
      <c r="K124" s="1" t="s">
        <v>29</v>
      </c>
      <c r="L124" s="1" t="s">
        <v>30</v>
      </c>
      <c r="M124" s="1" t="s">
        <v>31</v>
      </c>
      <c r="N124" s="1" t="s">
        <v>32</v>
      </c>
      <c r="O124" s="1" t="s">
        <v>33</v>
      </c>
      <c r="P124" s="2">
        <v>46152</v>
      </c>
      <c r="Q124" s="2">
        <v>46148</v>
      </c>
      <c r="R124" s="2">
        <v>46149</v>
      </c>
      <c r="S124" s="1">
        <v>5</v>
      </c>
      <c r="T124" s="1">
        <v>3</v>
      </c>
      <c r="U124" s="1" t="s">
        <v>34</v>
      </c>
      <c r="V124" s="1">
        <v>5000</v>
      </c>
    </row>
    <row r="125" spans="2:22" x14ac:dyDescent="0.3">
      <c r="B125" s="1" t="s">
        <v>303</v>
      </c>
      <c r="C125" s="2">
        <v>46148</v>
      </c>
      <c r="D125" s="1" t="s">
        <v>36</v>
      </c>
      <c r="E125" s="1" t="s">
        <v>37</v>
      </c>
      <c r="F125" s="1" t="s">
        <v>38</v>
      </c>
      <c r="G125" s="1" t="s">
        <v>39</v>
      </c>
      <c r="H125" s="1" t="s">
        <v>26</v>
      </c>
      <c r="I125" s="1" t="s">
        <v>304</v>
      </c>
      <c r="J125" s="1" t="s">
        <v>41</v>
      </c>
      <c r="K125" s="1"/>
      <c r="L125" s="1" t="s">
        <v>42</v>
      </c>
      <c r="M125" s="1" t="s">
        <v>31</v>
      </c>
      <c r="N125" s="1" t="s">
        <v>43</v>
      </c>
      <c r="O125" s="1" t="s">
        <v>44</v>
      </c>
      <c r="P125" s="2">
        <v>46153</v>
      </c>
      <c r="Q125" s="2">
        <v>46149</v>
      </c>
      <c r="R125" s="2">
        <v>46150</v>
      </c>
      <c r="S125" s="1">
        <v>8</v>
      </c>
      <c r="T125" s="1">
        <v>9</v>
      </c>
      <c r="U125" s="1" t="s">
        <v>45</v>
      </c>
      <c r="V125" s="1">
        <v>12000</v>
      </c>
    </row>
    <row r="126" spans="2:22" x14ac:dyDescent="0.3">
      <c r="B126" s="1" t="s">
        <v>305</v>
      </c>
      <c r="C126" s="2">
        <v>46149</v>
      </c>
      <c r="D126" s="1" t="s">
        <v>47</v>
      </c>
      <c r="E126" s="1" t="s">
        <v>48</v>
      </c>
      <c r="F126" s="1" t="s">
        <v>49</v>
      </c>
      <c r="G126" s="1" t="s">
        <v>50</v>
      </c>
      <c r="H126" s="1" t="s">
        <v>26</v>
      </c>
      <c r="I126" s="1" t="s">
        <v>306</v>
      </c>
      <c r="J126" s="1" t="s">
        <v>52</v>
      </c>
      <c r="K126" s="1" t="s">
        <v>53</v>
      </c>
      <c r="L126" s="1" t="s">
        <v>54</v>
      </c>
      <c r="M126" s="1" t="s">
        <v>31</v>
      </c>
      <c r="N126" s="1" t="s">
        <v>55</v>
      </c>
      <c r="O126" s="1" t="s">
        <v>56</v>
      </c>
      <c r="P126" s="2">
        <v>46154</v>
      </c>
      <c r="Q126" s="2">
        <v>46150</v>
      </c>
      <c r="R126" s="2">
        <v>46151</v>
      </c>
      <c r="S126" s="1">
        <v>10</v>
      </c>
      <c r="T126" s="1">
        <v>7</v>
      </c>
      <c r="U126" s="1" t="s">
        <v>34</v>
      </c>
      <c r="V126" s="1">
        <v>450</v>
      </c>
    </row>
    <row r="127" spans="2:22" x14ac:dyDescent="0.3">
      <c r="B127" s="1" t="s">
        <v>307</v>
      </c>
      <c r="C127" s="2">
        <v>46150</v>
      </c>
      <c r="D127" s="1" t="s">
        <v>58</v>
      </c>
      <c r="E127" s="1" t="s">
        <v>59</v>
      </c>
      <c r="F127" s="1" t="s">
        <v>60</v>
      </c>
      <c r="G127" s="1" t="s">
        <v>61</v>
      </c>
      <c r="H127" s="1" t="s">
        <v>26</v>
      </c>
      <c r="I127" s="1" t="s">
        <v>308</v>
      </c>
      <c r="J127" s="1" t="s">
        <v>28</v>
      </c>
      <c r="K127" s="1" t="s">
        <v>63</v>
      </c>
      <c r="L127" s="1"/>
      <c r="M127" s="1" t="s">
        <v>31</v>
      </c>
      <c r="N127" s="1" t="s">
        <v>32</v>
      </c>
      <c r="O127" s="1" t="s">
        <v>33</v>
      </c>
      <c r="P127" s="2">
        <v>46155</v>
      </c>
      <c r="Q127" s="2">
        <v>46151</v>
      </c>
      <c r="R127" s="2">
        <v>46152</v>
      </c>
      <c r="S127" s="1">
        <v>3</v>
      </c>
      <c r="T127" s="1">
        <v>2</v>
      </c>
      <c r="U127" s="1" t="s">
        <v>34</v>
      </c>
      <c r="V127" s="1"/>
    </row>
    <row r="128" spans="2:22" x14ac:dyDescent="0.3">
      <c r="B128" s="1" t="s">
        <v>309</v>
      </c>
      <c r="C128" s="2">
        <v>46151</v>
      </c>
      <c r="D128" s="1" t="s">
        <v>22</v>
      </c>
      <c r="E128" s="1" t="s">
        <v>65</v>
      </c>
      <c r="F128" s="1" t="s">
        <v>66</v>
      </c>
      <c r="G128" s="1" t="s">
        <v>67</v>
      </c>
      <c r="H128" s="1" t="s">
        <v>26</v>
      </c>
      <c r="I128" s="1" t="s">
        <v>310</v>
      </c>
      <c r="J128" s="1" t="s">
        <v>41</v>
      </c>
      <c r="K128" s="1"/>
      <c r="L128" s="1" t="s">
        <v>69</v>
      </c>
      <c r="M128" s="1" t="s">
        <v>31</v>
      </c>
      <c r="N128" s="1" t="s">
        <v>32</v>
      </c>
      <c r="O128" s="1" t="s">
        <v>70</v>
      </c>
      <c r="P128" s="2">
        <v>46156</v>
      </c>
      <c r="Q128" s="2">
        <v>46152</v>
      </c>
      <c r="R128" s="2">
        <v>46153</v>
      </c>
      <c r="S128" s="1">
        <v>5</v>
      </c>
      <c r="T128" s="1">
        <v>4</v>
      </c>
      <c r="U128" s="1" t="s">
        <v>34</v>
      </c>
      <c r="V128" s="1">
        <v>8000</v>
      </c>
    </row>
    <row r="129" spans="2:22" x14ac:dyDescent="0.3">
      <c r="B129" s="1" t="s">
        <v>311</v>
      </c>
      <c r="C129" s="2">
        <v>46152</v>
      </c>
      <c r="D129" s="1" t="s">
        <v>36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312</v>
      </c>
      <c r="J129" s="1" t="s">
        <v>52</v>
      </c>
      <c r="K129" s="1" t="s">
        <v>29</v>
      </c>
      <c r="L129" s="1" t="s">
        <v>30</v>
      </c>
      <c r="M129" s="1" t="s">
        <v>31</v>
      </c>
      <c r="N129" s="1" t="s">
        <v>32</v>
      </c>
      <c r="O129" s="1" t="s">
        <v>33</v>
      </c>
      <c r="P129" s="2">
        <v>46157</v>
      </c>
      <c r="Q129" s="2">
        <v>46153</v>
      </c>
      <c r="R129" s="2">
        <v>46154</v>
      </c>
      <c r="S129" s="1">
        <v>5</v>
      </c>
      <c r="T129" s="1">
        <v>3</v>
      </c>
      <c r="U129" s="1" t="s">
        <v>34</v>
      </c>
      <c r="V129" s="1">
        <v>5000</v>
      </c>
    </row>
    <row r="130" spans="2:22" x14ac:dyDescent="0.3">
      <c r="B130" s="1" t="s">
        <v>313</v>
      </c>
      <c r="C130" s="2">
        <v>46153</v>
      </c>
      <c r="D130" s="1" t="s">
        <v>47</v>
      </c>
      <c r="E130" s="1" t="s">
        <v>37</v>
      </c>
      <c r="F130" s="1" t="s">
        <v>38</v>
      </c>
      <c r="G130" s="1" t="s">
        <v>39</v>
      </c>
      <c r="H130" s="1" t="s">
        <v>26</v>
      </c>
      <c r="I130" s="1" t="s">
        <v>314</v>
      </c>
      <c r="J130" s="1" t="s">
        <v>28</v>
      </c>
      <c r="K130" s="1"/>
      <c r="L130" s="1" t="s">
        <v>42</v>
      </c>
      <c r="M130" s="1" t="s">
        <v>31</v>
      </c>
      <c r="N130" s="1" t="s">
        <v>43</v>
      </c>
      <c r="O130" s="1" t="s">
        <v>44</v>
      </c>
      <c r="P130" s="2">
        <v>46158</v>
      </c>
      <c r="Q130" s="2">
        <v>46154</v>
      </c>
      <c r="R130" s="2">
        <v>46155</v>
      </c>
      <c r="S130" s="1">
        <v>8</v>
      </c>
      <c r="T130" s="1">
        <v>9</v>
      </c>
      <c r="U130" s="1" t="s">
        <v>45</v>
      </c>
      <c r="V130" s="1">
        <v>12000</v>
      </c>
    </row>
    <row r="131" spans="2:22" x14ac:dyDescent="0.3">
      <c r="B131" s="1" t="s">
        <v>315</v>
      </c>
      <c r="C131" s="2">
        <v>46154</v>
      </c>
      <c r="D131" s="1" t="s">
        <v>58</v>
      </c>
      <c r="E131" s="1" t="s">
        <v>48</v>
      </c>
      <c r="F131" s="1" t="s">
        <v>49</v>
      </c>
      <c r="G131" s="1" t="s">
        <v>50</v>
      </c>
      <c r="H131" s="1" t="s">
        <v>26</v>
      </c>
      <c r="I131" s="1" t="s">
        <v>316</v>
      </c>
      <c r="J131" s="1" t="s">
        <v>41</v>
      </c>
      <c r="K131" s="1" t="s">
        <v>53</v>
      </c>
      <c r="L131" s="1" t="s">
        <v>54</v>
      </c>
      <c r="M131" s="1" t="s">
        <v>31</v>
      </c>
      <c r="N131" s="1" t="s">
        <v>55</v>
      </c>
      <c r="O131" s="1" t="s">
        <v>56</v>
      </c>
      <c r="P131" s="2">
        <v>46159</v>
      </c>
      <c r="Q131" s="2">
        <v>46155</v>
      </c>
      <c r="R131" s="2">
        <v>46156</v>
      </c>
      <c r="S131" s="1">
        <v>10</v>
      </c>
      <c r="T131" s="1">
        <v>7</v>
      </c>
      <c r="U131" s="1" t="s">
        <v>34</v>
      </c>
      <c r="V131" s="1">
        <v>450</v>
      </c>
    </row>
    <row r="132" spans="2:22" x14ac:dyDescent="0.3">
      <c r="B132" s="1" t="s">
        <v>317</v>
      </c>
      <c r="C132" s="2">
        <v>46155</v>
      </c>
      <c r="D132" s="1" t="s">
        <v>22</v>
      </c>
      <c r="E132" s="1" t="s">
        <v>59</v>
      </c>
      <c r="F132" s="1" t="s">
        <v>60</v>
      </c>
      <c r="G132" s="1" t="s">
        <v>61</v>
      </c>
      <c r="H132" s="1" t="s">
        <v>26</v>
      </c>
      <c r="I132" s="1" t="s">
        <v>318</v>
      </c>
      <c r="J132" s="1" t="s">
        <v>52</v>
      </c>
      <c r="K132" s="1" t="s">
        <v>63</v>
      </c>
      <c r="L132" s="1"/>
      <c r="M132" s="1" t="s">
        <v>31</v>
      </c>
      <c r="N132" s="1" t="s">
        <v>32</v>
      </c>
      <c r="O132" s="1" t="s">
        <v>33</v>
      </c>
      <c r="P132" s="2">
        <v>46160</v>
      </c>
      <c r="Q132" s="2">
        <v>46156</v>
      </c>
      <c r="R132" s="2">
        <v>46157</v>
      </c>
      <c r="S132" s="1">
        <v>3</v>
      </c>
      <c r="T132" s="1">
        <v>2</v>
      </c>
      <c r="U132" s="1" t="s">
        <v>34</v>
      </c>
      <c r="V132" s="1"/>
    </row>
    <row r="133" spans="2:22" x14ac:dyDescent="0.3">
      <c r="B133" s="1" t="s">
        <v>319</v>
      </c>
      <c r="C133" s="2">
        <v>46156</v>
      </c>
      <c r="D133" s="1" t="s">
        <v>36</v>
      </c>
      <c r="E133" s="1" t="s">
        <v>65</v>
      </c>
      <c r="F133" s="1" t="s">
        <v>66</v>
      </c>
      <c r="G133" s="1" t="s">
        <v>67</v>
      </c>
      <c r="H133" s="1" t="s">
        <v>26</v>
      </c>
      <c r="I133" s="1" t="s">
        <v>320</v>
      </c>
      <c r="J133" s="1" t="s">
        <v>28</v>
      </c>
      <c r="K133" s="1"/>
      <c r="L133" s="1" t="s">
        <v>69</v>
      </c>
      <c r="M133" s="1" t="s">
        <v>31</v>
      </c>
      <c r="N133" s="1" t="s">
        <v>32</v>
      </c>
      <c r="O133" s="1" t="s">
        <v>70</v>
      </c>
      <c r="P133" s="2">
        <v>46161</v>
      </c>
      <c r="Q133" s="2">
        <v>46157</v>
      </c>
      <c r="R133" s="2">
        <v>46158</v>
      </c>
      <c r="S133" s="1">
        <v>5</v>
      </c>
      <c r="T133" s="1">
        <v>4</v>
      </c>
      <c r="U133" s="1" t="s">
        <v>34</v>
      </c>
      <c r="V133" s="1">
        <v>8000</v>
      </c>
    </row>
    <row r="134" spans="2:22" x14ac:dyDescent="0.3">
      <c r="B134" s="1" t="s">
        <v>321</v>
      </c>
      <c r="C134" s="2">
        <v>46157</v>
      </c>
      <c r="D134" s="1" t="s">
        <v>47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322</v>
      </c>
      <c r="J134" s="1" t="s">
        <v>41</v>
      </c>
      <c r="K134" s="1" t="s">
        <v>29</v>
      </c>
      <c r="L134" s="1" t="s">
        <v>30</v>
      </c>
      <c r="M134" s="1" t="s">
        <v>31</v>
      </c>
      <c r="N134" s="1" t="s">
        <v>32</v>
      </c>
      <c r="O134" s="1" t="s">
        <v>33</v>
      </c>
      <c r="P134" s="2">
        <v>46162</v>
      </c>
      <c r="Q134" s="2">
        <v>46158</v>
      </c>
      <c r="R134" s="2">
        <v>46159</v>
      </c>
      <c r="S134" s="1">
        <v>5</v>
      </c>
      <c r="T134" s="1">
        <v>3</v>
      </c>
      <c r="U134" s="1" t="s">
        <v>34</v>
      </c>
      <c r="V134" s="1">
        <v>5000</v>
      </c>
    </row>
    <row r="135" spans="2:22" x14ac:dyDescent="0.3">
      <c r="B135" s="1" t="s">
        <v>323</v>
      </c>
      <c r="C135" s="2">
        <v>46158</v>
      </c>
      <c r="D135" s="1" t="s">
        <v>58</v>
      </c>
      <c r="E135" s="1" t="s">
        <v>37</v>
      </c>
      <c r="F135" s="1" t="s">
        <v>38</v>
      </c>
      <c r="G135" s="1" t="s">
        <v>39</v>
      </c>
      <c r="H135" s="1" t="s">
        <v>26</v>
      </c>
      <c r="I135" s="1" t="s">
        <v>324</v>
      </c>
      <c r="J135" s="1" t="s">
        <v>52</v>
      </c>
      <c r="K135" s="1"/>
      <c r="L135" s="1" t="s">
        <v>42</v>
      </c>
      <c r="M135" s="1" t="s">
        <v>31</v>
      </c>
      <c r="N135" s="1" t="s">
        <v>43</v>
      </c>
      <c r="O135" s="1" t="s">
        <v>44</v>
      </c>
      <c r="P135" s="2">
        <v>46163</v>
      </c>
      <c r="Q135" s="2">
        <v>46159</v>
      </c>
      <c r="R135" s="2">
        <v>46160</v>
      </c>
      <c r="S135" s="1">
        <v>8</v>
      </c>
      <c r="T135" s="1">
        <v>9</v>
      </c>
      <c r="U135" s="1" t="s">
        <v>45</v>
      </c>
      <c r="V135" s="1">
        <v>12000</v>
      </c>
    </row>
    <row r="136" spans="2:22" x14ac:dyDescent="0.3">
      <c r="B136" s="1" t="s">
        <v>325</v>
      </c>
      <c r="C136" s="2">
        <v>46159</v>
      </c>
      <c r="D136" s="1" t="s">
        <v>22</v>
      </c>
      <c r="E136" s="1" t="s">
        <v>48</v>
      </c>
      <c r="F136" s="1" t="s">
        <v>49</v>
      </c>
      <c r="G136" s="1" t="s">
        <v>50</v>
      </c>
      <c r="H136" s="1" t="s">
        <v>26</v>
      </c>
      <c r="I136" s="1" t="s">
        <v>326</v>
      </c>
      <c r="J136" s="1" t="s">
        <v>28</v>
      </c>
      <c r="K136" s="1" t="s">
        <v>53</v>
      </c>
      <c r="L136" s="1" t="s">
        <v>54</v>
      </c>
      <c r="M136" s="1" t="s">
        <v>31</v>
      </c>
      <c r="N136" s="1" t="s">
        <v>55</v>
      </c>
      <c r="O136" s="1" t="s">
        <v>56</v>
      </c>
      <c r="P136" s="2">
        <v>46164</v>
      </c>
      <c r="Q136" s="2">
        <v>46160</v>
      </c>
      <c r="R136" s="2">
        <v>46161</v>
      </c>
      <c r="S136" s="1">
        <v>10</v>
      </c>
      <c r="T136" s="1">
        <v>7</v>
      </c>
      <c r="U136" s="1" t="s">
        <v>34</v>
      </c>
      <c r="V136" s="1">
        <v>450</v>
      </c>
    </row>
    <row r="137" spans="2:22" x14ac:dyDescent="0.3">
      <c r="B137" s="1" t="s">
        <v>327</v>
      </c>
      <c r="C137" s="2">
        <v>46160</v>
      </c>
      <c r="D137" s="1" t="s">
        <v>36</v>
      </c>
      <c r="E137" s="1" t="s">
        <v>59</v>
      </c>
      <c r="F137" s="1" t="s">
        <v>60</v>
      </c>
      <c r="G137" s="1" t="s">
        <v>61</v>
      </c>
      <c r="H137" s="1" t="s">
        <v>26</v>
      </c>
      <c r="I137" s="1" t="s">
        <v>328</v>
      </c>
      <c r="J137" s="1" t="s">
        <v>41</v>
      </c>
      <c r="K137" s="1" t="s">
        <v>63</v>
      </c>
      <c r="L137" s="1"/>
      <c r="M137" s="1" t="s">
        <v>31</v>
      </c>
      <c r="N137" s="1" t="s">
        <v>32</v>
      </c>
      <c r="O137" s="1" t="s">
        <v>33</v>
      </c>
      <c r="P137" s="2">
        <v>46165</v>
      </c>
      <c r="Q137" s="2">
        <v>46161</v>
      </c>
      <c r="R137" s="2">
        <v>46162</v>
      </c>
      <c r="S137" s="1">
        <v>3</v>
      </c>
      <c r="T137" s="1">
        <v>2</v>
      </c>
      <c r="U137" s="1" t="s">
        <v>34</v>
      </c>
      <c r="V137" s="1"/>
    </row>
    <row r="138" spans="2:22" x14ac:dyDescent="0.3">
      <c r="B138" s="1" t="s">
        <v>329</v>
      </c>
      <c r="C138" s="2">
        <v>46161</v>
      </c>
      <c r="D138" s="1" t="s">
        <v>47</v>
      </c>
      <c r="E138" s="1" t="s">
        <v>65</v>
      </c>
      <c r="F138" s="1" t="s">
        <v>66</v>
      </c>
      <c r="G138" s="1" t="s">
        <v>67</v>
      </c>
      <c r="H138" s="1" t="s">
        <v>26</v>
      </c>
      <c r="I138" s="1" t="s">
        <v>330</v>
      </c>
      <c r="J138" s="1" t="s">
        <v>52</v>
      </c>
      <c r="K138" s="1"/>
      <c r="L138" s="1" t="s">
        <v>69</v>
      </c>
      <c r="M138" s="1" t="s">
        <v>31</v>
      </c>
      <c r="N138" s="1" t="s">
        <v>32</v>
      </c>
      <c r="O138" s="1" t="s">
        <v>70</v>
      </c>
      <c r="P138" s="2">
        <v>46166</v>
      </c>
      <c r="Q138" s="2">
        <v>46162</v>
      </c>
      <c r="R138" s="2">
        <v>46163</v>
      </c>
      <c r="S138" s="1">
        <v>5</v>
      </c>
      <c r="T138" s="1">
        <v>4</v>
      </c>
      <c r="U138" s="1" t="s">
        <v>34</v>
      </c>
      <c r="V138" s="1">
        <v>8000</v>
      </c>
    </row>
    <row r="139" spans="2:22" x14ac:dyDescent="0.3">
      <c r="B139" s="1" t="s">
        <v>331</v>
      </c>
      <c r="C139" s="2">
        <v>46162</v>
      </c>
      <c r="D139" s="1" t="s">
        <v>58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332</v>
      </c>
      <c r="J139" s="1" t="s">
        <v>28</v>
      </c>
      <c r="K139" s="1" t="s">
        <v>29</v>
      </c>
      <c r="L139" s="1" t="s">
        <v>30</v>
      </c>
      <c r="M139" s="1" t="s">
        <v>31</v>
      </c>
      <c r="N139" s="1" t="s">
        <v>32</v>
      </c>
      <c r="O139" s="1" t="s">
        <v>33</v>
      </c>
      <c r="P139" s="2">
        <v>46167</v>
      </c>
      <c r="Q139" s="2">
        <v>46163</v>
      </c>
      <c r="R139" s="2">
        <v>46164</v>
      </c>
      <c r="S139" s="1">
        <v>5</v>
      </c>
      <c r="T139" s="1">
        <v>3</v>
      </c>
      <c r="U139" s="1" t="s">
        <v>34</v>
      </c>
      <c r="V139" s="1">
        <v>5000</v>
      </c>
    </row>
    <row r="140" spans="2:22" x14ac:dyDescent="0.3">
      <c r="B140" s="1" t="s">
        <v>333</v>
      </c>
      <c r="C140" s="2">
        <v>46163</v>
      </c>
      <c r="D140" s="1" t="s">
        <v>22</v>
      </c>
      <c r="E140" s="1" t="s">
        <v>37</v>
      </c>
      <c r="F140" s="1" t="s">
        <v>38</v>
      </c>
      <c r="G140" s="1" t="s">
        <v>39</v>
      </c>
      <c r="H140" s="1" t="s">
        <v>26</v>
      </c>
      <c r="I140" s="1" t="s">
        <v>334</v>
      </c>
      <c r="J140" s="1" t="s">
        <v>41</v>
      </c>
      <c r="K140" s="1"/>
      <c r="L140" s="1" t="s">
        <v>42</v>
      </c>
      <c r="M140" s="1" t="s">
        <v>31</v>
      </c>
      <c r="N140" s="1" t="s">
        <v>43</v>
      </c>
      <c r="O140" s="1" t="s">
        <v>44</v>
      </c>
      <c r="P140" s="2">
        <v>46168</v>
      </c>
      <c r="Q140" s="2">
        <v>46164</v>
      </c>
      <c r="R140" s="2">
        <v>46165</v>
      </c>
      <c r="S140" s="1">
        <v>8</v>
      </c>
      <c r="T140" s="1">
        <v>9</v>
      </c>
      <c r="U140" s="1" t="s">
        <v>45</v>
      </c>
      <c r="V140" s="1">
        <v>12000</v>
      </c>
    </row>
    <row r="141" spans="2:22" x14ac:dyDescent="0.3">
      <c r="B141" s="1" t="s">
        <v>335</v>
      </c>
      <c r="C141" s="2">
        <v>46164</v>
      </c>
      <c r="D141" s="1" t="s">
        <v>36</v>
      </c>
      <c r="E141" s="1" t="s">
        <v>48</v>
      </c>
      <c r="F141" s="1" t="s">
        <v>49</v>
      </c>
      <c r="G141" s="1" t="s">
        <v>50</v>
      </c>
      <c r="H141" s="1" t="s">
        <v>26</v>
      </c>
      <c r="I141" s="1" t="s">
        <v>336</v>
      </c>
      <c r="J141" s="1" t="s">
        <v>52</v>
      </c>
      <c r="K141" s="1" t="s">
        <v>53</v>
      </c>
      <c r="L141" s="1" t="s">
        <v>54</v>
      </c>
      <c r="M141" s="1" t="s">
        <v>31</v>
      </c>
      <c r="N141" s="1" t="s">
        <v>55</v>
      </c>
      <c r="O141" s="1" t="s">
        <v>56</v>
      </c>
      <c r="P141" s="2">
        <v>46169</v>
      </c>
      <c r="Q141" s="2">
        <v>46165</v>
      </c>
      <c r="R141" s="2">
        <v>46166</v>
      </c>
      <c r="S141" s="1">
        <v>10</v>
      </c>
      <c r="T141" s="1">
        <v>7</v>
      </c>
      <c r="U141" s="1" t="s">
        <v>34</v>
      </c>
      <c r="V141" s="1">
        <v>450</v>
      </c>
    </row>
    <row r="142" spans="2:22" x14ac:dyDescent="0.3">
      <c r="B142" s="1" t="s">
        <v>337</v>
      </c>
      <c r="C142" s="2">
        <v>46165</v>
      </c>
      <c r="D142" s="1" t="s">
        <v>47</v>
      </c>
      <c r="E142" s="1" t="s">
        <v>59</v>
      </c>
      <c r="F142" s="1" t="s">
        <v>60</v>
      </c>
      <c r="G142" s="1" t="s">
        <v>61</v>
      </c>
      <c r="H142" s="1" t="s">
        <v>26</v>
      </c>
      <c r="I142" s="1" t="s">
        <v>338</v>
      </c>
      <c r="J142" s="1" t="s">
        <v>28</v>
      </c>
      <c r="K142" s="1" t="s">
        <v>63</v>
      </c>
      <c r="L142" s="1"/>
      <c r="M142" s="1" t="s">
        <v>31</v>
      </c>
      <c r="N142" s="1" t="s">
        <v>32</v>
      </c>
      <c r="O142" s="1" t="s">
        <v>33</v>
      </c>
      <c r="P142" s="2">
        <v>46170</v>
      </c>
      <c r="Q142" s="2">
        <v>46166</v>
      </c>
      <c r="R142" s="2">
        <v>46167</v>
      </c>
      <c r="S142" s="1">
        <v>3</v>
      </c>
      <c r="T142" s="1">
        <v>2</v>
      </c>
      <c r="U142" s="1" t="s">
        <v>34</v>
      </c>
      <c r="V142" s="1"/>
    </row>
    <row r="143" spans="2:22" x14ac:dyDescent="0.3">
      <c r="B143" s="1" t="s">
        <v>339</v>
      </c>
      <c r="C143" s="2">
        <v>46166</v>
      </c>
      <c r="D143" s="1" t="s">
        <v>58</v>
      </c>
      <c r="E143" s="1" t="s">
        <v>65</v>
      </c>
      <c r="F143" s="1" t="s">
        <v>66</v>
      </c>
      <c r="G143" s="1" t="s">
        <v>67</v>
      </c>
      <c r="H143" s="1" t="s">
        <v>26</v>
      </c>
      <c r="I143" s="1" t="s">
        <v>340</v>
      </c>
      <c r="J143" s="1" t="s">
        <v>41</v>
      </c>
      <c r="K143" s="1"/>
      <c r="L143" s="1" t="s">
        <v>69</v>
      </c>
      <c r="M143" s="1" t="s">
        <v>31</v>
      </c>
      <c r="N143" s="1" t="s">
        <v>32</v>
      </c>
      <c r="O143" s="1" t="s">
        <v>70</v>
      </c>
      <c r="P143" s="2">
        <v>46171</v>
      </c>
      <c r="Q143" s="2">
        <v>46167</v>
      </c>
      <c r="R143" s="2">
        <v>46168</v>
      </c>
      <c r="S143" s="1">
        <v>5</v>
      </c>
      <c r="T143" s="1">
        <v>4</v>
      </c>
      <c r="U143" s="1" t="s">
        <v>34</v>
      </c>
      <c r="V143" s="1">
        <v>8000</v>
      </c>
    </row>
    <row r="144" spans="2:22" x14ac:dyDescent="0.3">
      <c r="B144" s="1" t="s">
        <v>341</v>
      </c>
      <c r="C144" s="2">
        <v>46167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342</v>
      </c>
      <c r="J144" s="1" t="s">
        <v>52</v>
      </c>
      <c r="K144" s="1" t="s">
        <v>29</v>
      </c>
      <c r="L144" s="1" t="s">
        <v>30</v>
      </c>
      <c r="M144" s="1" t="s">
        <v>31</v>
      </c>
      <c r="N144" s="1" t="s">
        <v>32</v>
      </c>
      <c r="O144" s="1" t="s">
        <v>33</v>
      </c>
      <c r="P144" s="2">
        <v>46172</v>
      </c>
      <c r="Q144" s="2">
        <v>46168</v>
      </c>
      <c r="R144" s="2">
        <v>46169</v>
      </c>
      <c r="S144" s="1">
        <v>5</v>
      </c>
      <c r="T144" s="1">
        <v>3</v>
      </c>
      <c r="U144" s="1" t="s">
        <v>34</v>
      </c>
      <c r="V144" s="1">
        <v>5000</v>
      </c>
    </row>
    <row r="145" spans="2:22" x14ac:dyDescent="0.3">
      <c r="B145" s="1" t="s">
        <v>343</v>
      </c>
      <c r="C145" s="2">
        <v>46168</v>
      </c>
      <c r="D145" s="1" t="s">
        <v>36</v>
      </c>
      <c r="E145" s="1" t="s">
        <v>37</v>
      </c>
      <c r="F145" s="1" t="s">
        <v>38</v>
      </c>
      <c r="G145" s="1" t="s">
        <v>39</v>
      </c>
      <c r="H145" s="1" t="s">
        <v>26</v>
      </c>
      <c r="I145" s="1" t="s">
        <v>344</v>
      </c>
      <c r="J145" s="1" t="s">
        <v>28</v>
      </c>
      <c r="K145" s="1"/>
      <c r="L145" s="1" t="s">
        <v>42</v>
      </c>
      <c r="M145" s="1" t="s">
        <v>31</v>
      </c>
      <c r="N145" s="1" t="s">
        <v>43</v>
      </c>
      <c r="O145" s="1" t="s">
        <v>44</v>
      </c>
      <c r="P145" s="2">
        <v>46173</v>
      </c>
      <c r="Q145" s="2">
        <v>46169</v>
      </c>
      <c r="R145" s="2">
        <v>46170</v>
      </c>
      <c r="S145" s="1">
        <v>8</v>
      </c>
      <c r="T145" s="1">
        <v>9</v>
      </c>
      <c r="U145" s="1" t="s">
        <v>45</v>
      </c>
      <c r="V145" s="1">
        <v>12000</v>
      </c>
    </row>
    <row r="146" spans="2:22" x14ac:dyDescent="0.3">
      <c r="B146" s="1" t="s">
        <v>345</v>
      </c>
      <c r="C146" s="2">
        <v>46169</v>
      </c>
      <c r="D146" s="1" t="s">
        <v>47</v>
      </c>
      <c r="E146" s="1" t="s">
        <v>48</v>
      </c>
      <c r="F146" s="1" t="s">
        <v>49</v>
      </c>
      <c r="G146" s="1" t="s">
        <v>50</v>
      </c>
      <c r="H146" s="1" t="s">
        <v>26</v>
      </c>
      <c r="I146" s="1" t="s">
        <v>346</v>
      </c>
      <c r="J146" s="1" t="s">
        <v>41</v>
      </c>
      <c r="K146" s="1" t="s">
        <v>53</v>
      </c>
      <c r="L146" s="1" t="s">
        <v>54</v>
      </c>
      <c r="M146" s="1" t="s">
        <v>31</v>
      </c>
      <c r="N146" s="1" t="s">
        <v>55</v>
      </c>
      <c r="O146" s="1" t="s">
        <v>56</v>
      </c>
      <c r="P146" s="2">
        <v>46174</v>
      </c>
      <c r="Q146" s="2">
        <v>46170</v>
      </c>
      <c r="R146" s="2">
        <v>46171</v>
      </c>
      <c r="S146" s="1">
        <v>10</v>
      </c>
      <c r="T146" s="1">
        <v>7</v>
      </c>
      <c r="U146" s="1" t="s">
        <v>34</v>
      </c>
      <c r="V146" s="1">
        <v>450</v>
      </c>
    </row>
    <row r="147" spans="2:22" x14ac:dyDescent="0.3">
      <c r="B147" s="1" t="s">
        <v>347</v>
      </c>
      <c r="C147" s="2">
        <v>46170</v>
      </c>
      <c r="D147" s="1" t="s">
        <v>58</v>
      </c>
      <c r="E147" s="1" t="s">
        <v>59</v>
      </c>
      <c r="F147" s="1" t="s">
        <v>60</v>
      </c>
      <c r="G147" s="1" t="s">
        <v>61</v>
      </c>
      <c r="H147" s="1" t="s">
        <v>26</v>
      </c>
      <c r="I147" s="1" t="s">
        <v>348</v>
      </c>
      <c r="J147" s="1" t="s">
        <v>52</v>
      </c>
      <c r="K147" s="1" t="s">
        <v>63</v>
      </c>
      <c r="L147" s="1"/>
      <c r="M147" s="1" t="s">
        <v>31</v>
      </c>
      <c r="N147" s="1" t="s">
        <v>32</v>
      </c>
      <c r="O147" s="1" t="s">
        <v>33</v>
      </c>
      <c r="P147" s="2">
        <v>46175</v>
      </c>
      <c r="Q147" s="2">
        <v>46171</v>
      </c>
      <c r="R147" s="2">
        <v>46172</v>
      </c>
      <c r="S147" s="1">
        <v>3</v>
      </c>
      <c r="T147" s="1">
        <v>2</v>
      </c>
      <c r="U147" s="1" t="s">
        <v>34</v>
      </c>
      <c r="V147" s="1"/>
    </row>
    <row r="148" spans="2:22" x14ac:dyDescent="0.3">
      <c r="B148" s="1" t="s">
        <v>349</v>
      </c>
      <c r="C148" s="2">
        <v>46171</v>
      </c>
      <c r="D148" s="1" t="s">
        <v>22</v>
      </c>
      <c r="E148" s="1" t="s">
        <v>65</v>
      </c>
      <c r="F148" s="1" t="s">
        <v>66</v>
      </c>
      <c r="G148" s="1" t="s">
        <v>67</v>
      </c>
      <c r="H148" s="1" t="s">
        <v>26</v>
      </c>
      <c r="I148" s="1" t="s">
        <v>350</v>
      </c>
      <c r="J148" s="1" t="s">
        <v>28</v>
      </c>
      <c r="K148" s="1"/>
      <c r="L148" s="1" t="s">
        <v>69</v>
      </c>
      <c r="M148" s="1" t="s">
        <v>31</v>
      </c>
      <c r="N148" s="1" t="s">
        <v>32</v>
      </c>
      <c r="O148" s="1" t="s">
        <v>70</v>
      </c>
      <c r="P148" s="2">
        <v>46176</v>
      </c>
      <c r="Q148" s="2">
        <v>46172</v>
      </c>
      <c r="R148" s="2">
        <v>46173</v>
      </c>
      <c r="S148" s="1">
        <v>5</v>
      </c>
      <c r="T148" s="1">
        <v>4</v>
      </c>
      <c r="U148" s="1" t="s">
        <v>34</v>
      </c>
      <c r="V148" s="1">
        <v>8000</v>
      </c>
    </row>
    <row r="149" spans="2:22" x14ac:dyDescent="0.3">
      <c r="B149" s="1" t="s">
        <v>351</v>
      </c>
      <c r="C149" s="2">
        <v>46172</v>
      </c>
      <c r="D149" s="1" t="s">
        <v>36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352</v>
      </c>
      <c r="J149" s="1" t="s">
        <v>41</v>
      </c>
      <c r="K149" s="1" t="s">
        <v>29</v>
      </c>
      <c r="L149" s="1" t="s">
        <v>30</v>
      </c>
      <c r="M149" s="1" t="s">
        <v>31</v>
      </c>
      <c r="N149" s="1" t="s">
        <v>32</v>
      </c>
      <c r="O149" s="1" t="s">
        <v>33</v>
      </c>
      <c r="P149" s="2">
        <v>46177</v>
      </c>
      <c r="Q149" s="2">
        <v>46173</v>
      </c>
      <c r="R149" s="2">
        <v>46174</v>
      </c>
      <c r="S149" s="1">
        <v>5</v>
      </c>
      <c r="T149" s="1">
        <v>3</v>
      </c>
      <c r="U149" s="1" t="s">
        <v>34</v>
      </c>
      <c r="V149" s="1">
        <v>5000</v>
      </c>
    </row>
    <row r="150" spans="2:22" x14ac:dyDescent="0.3">
      <c r="B150" s="1" t="s">
        <v>353</v>
      </c>
      <c r="C150" s="2">
        <v>46173</v>
      </c>
      <c r="D150" s="1" t="s">
        <v>47</v>
      </c>
      <c r="E150" s="1" t="s">
        <v>37</v>
      </c>
      <c r="F150" s="1" t="s">
        <v>38</v>
      </c>
      <c r="G150" s="1" t="s">
        <v>39</v>
      </c>
      <c r="H150" s="1" t="s">
        <v>26</v>
      </c>
      <c r="I150" s="1" t="s">
        <v>354</v>
      </c>
      <c r="J150" s="1" t="s">
        <v>52</v>
      </c>
      <c r="K150" s="1"/>
      <c r="L150" s="1" t="s">
        <v>42</v>
      </c>
      <c r="M150" s="1" t="s">
        <v>31</v>
      </c>
      <c r="N150" s="1" t="s">
        <v>43</v>
      </c>
      <c r="O150" s="1" t="s">
        <v>44</v>
      </c>
      <c r="P150" s="2">
        <v>46178</v>
      </c>
      <c r="Q150" s="2">
        <v>46174</v>
      </c>
      <c r="R150" s="2">
        <v>46175</v>
      </c>
      <c r="S150" s="1">
        <v>8</v>
      </c>
      <c r="T150" s="1">
        <v>9</v>
      </c>
      <c r="U150" s="1" t="s">
        <v>45</v>
      </c>
      <c r="V150" s="1">
        <v>12000</v>
      </c>
    </row>
    <row r="151" spans="2:22" x14ac:dyDescent="0.3">
      <c r="B151" s="1" t="s">
        <v>355</v>
      </c>
      <c r="C151" s="2">
        <v>46174</v>
      </c>
      <c r="D151" s="1" t="s">
        <v>58</v>
      </c>
      <c r="E151" s="1" t="s">
        <v>48</v>
      </c>
      <c r="F151" s="1" t="s">
        <v>49</v>
      </c>
      <c r="G151" s="1" t="s">
        <v>50</v>
      </c>
      <c r="H151" s="1" t="s">
        <v>26</v>
      </c>
      <c r="I151" s="1" t="s">
        <v>356</v>
      </c>
      <c r="J151" s="1" t="s">
        <v>28</v>
      </c>
      <c r="K151" s="1" t="s">
        <v>53</v>
      </c>
      <c r="L151" s="1" t="s">
        <v>54</v>
      </c>
      <c r="M151" s="1" t="s">
        <v>31</v>
      </c>
      <c r="N151" s="1" t="s">
        <v>55</v>
      </c>
      <c r="O151" s="1" t="s">
        <v>56</v>
      </c>
      <c r="P151" s="2">
        <v>46179</v>
      </c>
      <c r="Q151" s="2">
        <v>46175</v>
      </c>
      <c r="R151" s="2">
        <v>46176</v>
      </c>
      <c r="S151" s="1">
        <v>10</v>
      </c>
      <c r="T151" s="1">
        <v>7</v>
      </c>
      <c r="U151" s="1" t="s">
        <v>34</v>
      </c>
      <c r="V151" s="1">
        <v>450</v>
      </c>
    </row>
    <row r="152" spans="2:22" x14ac:dyDescent="0.3">
      <c r="B152" s="1" t="s">
        <v>357</v>
      </c>
      <c r="C152" s="2">
        <v>46175</v>
      </c>
      <c r="D152" s="1" t="s">
        <v>22</v>
      </c>
      <c r="E152" s="1" t="s">
        <v>59</v>
      </c>
      <c r="F152" s="1" t="s">
        <v>60</v>
      </c>
      <c r="G152" s="1" t="s">
        <v>61</v>
      </c>
      <c r="H152" s="1" t="s">
        <v>26</v>
      </c>
      <c r="I152" s="1" t="s">
        <v>358</v>
      </c>
      <c r="J152" s="1" t="s">
        <v>41</v>
      </c>
      <c r="K152" s="1" t="s">
        <v>63</v>
      </c>
      <c r="L152" s="1"/>
      <c r="M152" s="1" t="s">
        <v>31</v>
      </c>
      <c r="N152" s="1" t="s">
        <v>32</v>
      </c>
      <c r="O152" s="1" t="s">
        <v>33</v>
      </c>
      <c r="P152" s="2">
        <v>46180</v>
      </c>
      <c r="Q152" s="2">
        <v>46176</v>
      </c>
      <c r="R152" s="2">
        <v>46177</v>
      </c>
      <c r="S152" s="1">
        <v>3</v>
      </c>
      <c r="T152" s="1">
        <v>2</v>
      </c>
      <c r="U152" s="1" t="s">
        <v>34</v>
      </c>
      <c r="V152" s="1"/>
    </row>
    <row r="153" spans="2:22" x14ac:dyDescent="0.3">
      <c r="B153" s="1" t="s">
        <v>359</v>
      </c>
      <c r="C153" s="2">
        <v>46176</v>
      </c>
      <c r="D153" s="1" t="s">
        <v>36</v>
      </c>
      <c r="E153" s="1" t="s">
        <v>65</v>
      </c>
      <c r="F153" s="1" t="s">
        <v>66</v>
      </c>
      <c r="G153" s="1" t="s">
        <v>67</v>
      </c>
      <c r="H153" s="1" t="s">
        <v>26</v>
      </c>
      <c r="I153" s="1" t="s">
        <v>360</v>
      </c>
      <c r="J153" s="1" t="s">
        <v>52</v>
      </c>
      <c r="K153" s="1"/>
      <c r="L153" s="1" t="s">
        <v>69</v>
      </c>
      <c r="M153" s="1" t="s">
        <v>31</v>
      </c>
      <c r="N153" s="1" t="s">
        <v>32</v>
      </c>
      <c r="O153" s="1" t="s">
        <v>70</v>
      </c>
      <c r="P153" s="2">
        <v>46181</v>
      </c>
      <c r="Q153" s="2">
        <v>46177</v>
      </c>
      <c r="R153" s="2">
        <v>46178</v>
      </c>
      <c r="S153" s="1">
        <v>5</v>
      </c>
      <c r="T153" s="1">
        <v>4</v>
      </c>
      <c r="U153" s="1" t="s">
        <v>34</v>
      </c>
      <c r="V153" s="1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W153"/>
  <sheetViews>
    <sheetView showGridLines="0" tabSelected="1" workbookViewId="0">
      <selection activeCell="B4" sqref="B4"/>
    </sheetView>
  </sheetViews>
  <sheetFormatPr defaultRowHeight="14.4" x14ac:dyDescent="0.3"/>
  <cols>
    <col min="1" max="1" width="2.6640625" customWidth="1"/>
    <col min="2" max="2" width="14" bestFit="1" customWidth="1"/>
    <col min="3" max="3" width="18.109375" style="16" bestFit="1" customWidth="1"/>
    <col min="4" max="4" width="17.77734375" bestFit="1" customWidth="1"/>
    <col min="5" max="5" width="20.77734375" bestFit="1" customWidth="1"/>
    <col min="6" max="6" width="16.33203125" bestFit="1" customWidth="1"/>
    <col min="7" max="7" width="20.21875" bestFit="1" customWidth="1"/>
    <col min="8" max="8" width="17.44140625" bestFit="1" customWidth="1"/>
    <col min="9" max="9" width="19" bestFit="1" customWidth="1"/>
    <col min="10" max="10" width="18.44140625" bestFit="1" customWidth="1"/>
    <col min="11" max="11" width="16.6640625" bestFit="1" customWidth="1"/>
    <col min="12" max="12" width="16.88671875" style="20" bestFit="1" customWidth="1"/>
    <col min="13" max="13" width="18.109375" bestFit="1" customWidth="1"/>
    <col min="14" max="14" width="11.5546875" bestFit="1" customWidth="1"/>
    <col min="15" max="15" width="15.109375" bestFit="1" customWidth="1"/>
    <col min="16" max="17" width="18.109375" style="16" bestFit="1" customWidth="1"/>
    <col min="18" max="18" width="19.21875" style="16" bestFit="1" customWidth="1"/>
    <col min="19" max="20" width="20" bestFit="1" customWidth="1"/>
    <col min="21" max="21" width="21.33203125" bestFit="1" customWidth="1"/>
    <col min="22" max="22" width="13" bestFit="1" customWidth="1"/>
    <col min="23" max="23" width="13.21875" bestFit="1" customWidth="1"/>
  </cols>
  <sheetData>
    <row r="3" spans="2:23" x14ac:dyDescent="0.3">
      <c r="B3" s="7" t="s">
        <v>0</v>
      </c>
      <c r="C3" s="13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373</v>
      </c>
      <c r="L3" s="8" t="s">
        <v>9</v>
      </c>
      <c r="M3" s="17" t="s">
        <v>20</v>
      </c>
      <c r="N3" s="8" t="s">
        <v>11</v>
      </c>
      <c r="O3" s="8" t="s">
        <v>12</v>
      </c>
      <c r="P3" s="8" t="s">
        <v>13</v>
      </c>
      <c r="Q3" s="13" t="s">
        <v>14</v>
      </c>
      <c r="R3" s="13" t="s">
        <v>15</v>
      </c>
      <c r="S3" s="13" t="s">
        <v>16</v>
      </c>
      <c r="T3" s="8" t="s">
        <v>17</v>
      </c>
      <c r="U3" s="8" t="s">
        <v>18</v>
      </c>
      <c r="V3" s="8" t="s">
        <v>19</v>
      </c>
      <c r="W3" s="8" t="s">
        <v>386</v>
      </c>
    </row>
    <row r="4" spans="2:23" x14ac:dyDescent="0.3">
      <c r="B4" s="5" t="s">
        <v>21</v>
      </c>
      <c r="C4" s="14">
        <v>46027</v>
      </c>
      <c r="D4" s="31" t="s">
        <v>22</v>
      </c>
      <c r="E4" s="31" t="s">
        <v>23</v>
      </c>
      <c r="F4" s="31" t="s">
        <v>24</v>
      </c>
      <c r="G4" s="31" t="s">
        <v>25</v>
      </c>
      <c r="H4" s="1" t="s">
        <v>26</v>
      </c>
      <c r="I4" s="1" t="s">
        <v>27</v>
      </c>
      <c r="J4" s="31" t="s">
        <v>28</v>
      </c>
      <c r="K4" s="31" t="str">
        <f>_xlfn.XLOOKUP(Clean_Request_Template[[#This Row],[VendorID]],Vendors[VendorID],Vendors[VendorName],"Missing Vendor")</f>
        <v>Alpha Supplies</v>
      </c>
      <c r="L4" s="1" t="s">
        <v>29</v>
      </c>
      <c r="M4" s="18">
        <v>5000</v>
      </c>
      <c r="N4" s="1" t="s">
        <v>31</v>
      </c>
      <c r="O4" s="3" t="s">
        <v>32</v>
      </c>
      <c r="P4" s="3" t="s">
        <v>33</v>
      </c>
      <c r="Q4" s="14">
        <v>46032</v>
      </c>
      <c r="R4" s="14">
        <v>46028</v>
      </c>
      <c r="S4" s="14">
        <v>46029</v>
      </c>
      <c r="T4" s="3">
        <v>5</v>
      </c>
      <c r="U4" s="3">
        <v>3</v>
      </c>
      <c r="V4" s="1" t="s">
        <v>34</v>
      </c>
      <c r="W4" s="36">
        <f>IF(Clean_Request_Template[[#This Row],[SLA_Met]]="Yes",1,0)</f>
        <v>1</v>
      </c>
    </row>
    <row r="5" spans="2:23" x14ac:dyDescent="0.3">
      <c r="B5" s="5" t="s">
        <v>35</v>
      </c>
      <c r="C5" s="14">
        <v>46028</v>
      </c>
      <c r="D5" s="31" t="s">
        <v>36</v>
      </c>
      <c r="E5" s="31" t="s">
        <v>37</v>
      </c>
      <c r="F5" s="31" t="s">
        <v>38</v>
      </c>
      <c r="G5" s="31" t="s">
        <v>39</v>
      </c>
      <c r="H5" s="1" t="s">
        <v>26</v>
      </c>
      <c r="I5" s="1" t="s">
        <v>40</v>
      </c>
      <c r="J5" s="31" t="s">
        <v>41</v>
      </c>
      <c r="K5" s="31" t="str">
        <f>_xlfn.XLOOKUP(Clean_Request_Template[[#This Row],[VendorID]],Vendors[VendorID],Vendors[VendorName],"Missing Vendor")</f>
        <v>Missing Vendor</v>
      </c>
      <c r="L5" s="1"/>
      <c r="M5" s="18">
        <v>12000</v>
      </c>
      <c r="N5" s="1" t="s">
        <v>31</v>
      </c>
      <c r="O5" s="3" t="s">
        <v>43</v>
      </c>
      <c r="P5" s="3" t="s">
        <v>44</v>
      </c>
      <c r="Q5" s="14">
        <v>46033</v>
      </c>
      <c r="R5" s="14">
        <v>46029</v>
      </c>
      <c r="S5" s="14">
        <v>46030</v>
      </c>
      <c r="T5" s="3">
        <v>8</v>
      </c>
      <c r="U5" s="3">
        <v>9</v>
      </c>
      <c r="V5" s="1" t="s">
        <v>45</v>
      </c>
      <c r="W5" s="3">
        <f>IF(Clean_Request_Template[[#This Row],[SLA_Met]]="Yes",1,0)</f>
        <v>0</v>
      </c>
    </row>
    <row r="6" spans="2:23" x14ac:dyDescent="0.3">
      <c r="B6" s="5" t="s">
        <v>46</v>
      </c>
      <c r="C6" s="14">
        <v>46029</v>
      </c>
      <c r="D6" s="31" t="s">
        <v>47</v>
      </c>
      <c r="E6" s="31" t="s">
        <v>390</v>
      </c>
      <c r="F6" s="31" t="s">
        <v>49</v>
      </c>
      <c r="G6" s="31" t="s">
        <v>50</v>
      </c>
      <c r="H6" s="1" t="s">
        <v>26</v>
      </c>
      <c r="I6" s="1" t="s">
        <v>51</v>
      </c>
      <c r="J6" s="31" t="s">
        <v>52</v>
      </c>
      <c r="K6" s="31" t="str">
        <f>_xlfn.XLOOKUP(Clean_Request_Template[[#This Row],[VendorID]],Vendors[VendorID],Vendors[VendorName],"Missing Vendor")</f>
        <v>Horizon Travel</v>
      </c>
      <c r="L6" s="1" t="s">
        <v>53</v>
      </c>
      <c r="M6" s="18">
        <v>450</v>
      </c>
      <c r="N6" s="1" t="s">
        <v>31</v>
      </c>
      <c r="O6" s="3" t="s">
        <v>55</v>
      </c>
      <c r="P6" s="3" t="s">
        <v>56</v>
      </c>
      <c r="Q6" s="14">
        <v>46034</v>
      </c>
      <c r="R6" s="14">
        <v>46030</v>
      </c>
      <c r="S6" s="14">
        <v>46031</v>
      </c>
      <c r="T6" s="3">
        <v>10</v>
      </c>
      <c r="U6" s="3">
        <v>7</v>
      </c>
      <c r="V6" s="1" t="s">
        <v>34</v>
      </c>
      <c r="W6" s="3">
        <f>IF(Clean_Request_Template[[#This Row],[SLA_Met]]="Yes",1,0)</f>
        <v>1</v>
      </c>
    </row>
    <row r="7" spans="2:23" x14ac:dyDescent="0.3">
      <c r="B7" s="5" t="s">
        <v>57</v>
      </c>
      <c r="C7" s="14">
        <v>46030</v>
      </c>
      <c r="D7" s="31" t="s">
        <v>58</v>
      </c>
      <c r="E7" s="31" t="s">
        <v>391</v>
      </c>
      <c r="F7" s="31" t="s">
        <v>60</v>
      </c>
      <c r="G7" s="31" t="s">
        <v>61</v>
      </c>
      <c r="H7" s="1" t="s">
        <v>26</v>
      </c>
      <c r="I7" s="1" t="s">
        <v>62</v>
      </c>
      <c r="J7" s="31" t="s">
        <v>28</v>
      </c>
      <c r="K7" s="31" t="str">
        <f>_xlfn.XLOOKUP(Clean_Request_Template[[#This Row],[VendorID]],Vendors[VendorID],Vendors[VendorName],"Missing Vendor")</f>
        <v>Delta Services</v>
      </c>
      <c r="L7" s="1" t="s">
        <v>63</v>
      </c>
      <c r="M7" s="18">
        <v>0</v>
      </c>
      <c r="N7" s="1" t="s">
        <v>31</v>
      </c>
      <c r="O7" s="3" t="s">
        <v>32</v>
      </c>
      <c r="P7" s="3" t="s">
        <v>33</v>
      </c>
      <c r="Q7" s="14">
        <v>46035</v>
      </c>
      <c r="R7" s="14">
        <v>46031</v>
      </c>
      <c r="S7" s="14">
        <v>46032</v>
      </c>
      <c r="T7" s="3">
        <v>3</v>
      </c>
      <c r="U7" s="3">
        <v>2</v>
      </c>
      <c r="V7" s="1" t="s">
        <v>34</v>
      </c>
      <c r="W7" s="3">
        <f>IF(Clean_Request_Template[[#This Row],[SLA_Met]]="Yes",1,0)</f>
        <v>1</v>
      </c>
    </row>
    <row r="8" spans="2:23" x14ac:dyDescent="0.3">
      <c r="B8" s="5" t="s">
        <v>64</v>
      </c>
      <c r="C8" s="14">
        <v>46031</v>
      </c>
      <c r="D8" s="31" t="s">
        <v>22</v>
      </c>
      <c r="E8" s="31" t="s">
        <v>392</v>
      </c>
      <c r="F8" s="31" t="s">
        <v>66</v>
      </c>
      <c r="G8" s="31" t="s">
        <v>67</v>
      </c>
      <c r="H8" s="1" t="s">
        <v>26</v>
      </c>
      <c r="I8" s="1" t="s">
        <v>68</v>
      </c>
      <c r="J8" s="31" t="s">
        <v>41</v>
      </c>
      <c r="K8" s="31" t="str">
        <f>_xlfn.XLOOKUP(Clean_Request_Template[[#This Row],[VendorID]],Vendors[VendorID],Vendors[VendorName],"Missing Vendor")</f>
        <v>Missing Vendor</v>
      </c>
      <c r="L8" s="1"/>
      <c r="M8" s="18">
        <v>8000</v>
      </c>
      <c r="N8" s="1" t="s">
        <v>31</v>
      </c>
      <c r="O8" s="3" t="s">
        <v>32</v>
      </c>
      <c r="P8" s="3" t="s">
        <v>70</v>
      </c>
      <c r="Q8" s="14">
        <v>46036</v>
      </c>
      <c r="R8" s="14">
        <v>46032</v>
      </c>
      <c r="S8" s="14">
        <v>46033</v>
      </c>
      <c r="T8" s="3">
        <v>5</v>
      </c>
      <c r="U8" s="3">
        <v>4</v>
      </c>
      <c r="V8" s="1" t="s">
        <v>34</v>
      </c>
      <c r="W8" s="3">
        <f>IF(Clean_Request_Template[[#This Row],[SLA_Met]]="Yes",1,0)</f>
        <v>1</v>
      </c>
    </row>
    <row r="9" spans="2:23" x14ac:dyDescent="0.3">
      <c r="B9" s="5" t="s">
        <v>71</v>
      </c>
      <c r="C9" s="14">
        <v>46032</v>
      </c>
      <c r="D9" s="31" t="s">
        <v>36</v>
      </c>
      <c r="E9" s="31" t="s">
        <v>23</v>
      </c>
      <c r="F9" s="31" t="s">
        <v>24</v>
      </c>
      <c r="G9" s="31" t="s">
        <v>25</v>
      </c>
      <c r="H9" s="1" t="s">
        <v>26</v>
      </c>
      <c r="I9" s="1" t="s">
        <v>72</v>
      </c>
      <c r="J9" s="31" t="s">
        <v>52</v>
      </c>
      <c r="K9" s="31" t="str">
        <f>_xlfn.XLOOKUP(Clean_Request_Template[[#This Row],[VendorID]],Vendors[VendorID],Vendors[VendorName],"Missing Vendor")</f>
        <v>Alpha Supplies</v>
      </c>
      <c r="L9" s="1" t="s">
        <v>29</v>
      </c>
      <c r="M9" s="18">
        <v>5000</v>
      </c>
      <c r="N9" s="1" t="s">
        <v>31</v>
      </c>
      <c r="O9" s="3" t="s">
        <v>32</v>
      </c>
      <c r="P9" s="3" t="s">
        <v>33</v>
      </c>
      <c r="Q9" s="14">
        <v>46037</v>
      </c>
      <c r="R9" s="14">
        <v>46033</v>
      </c>
      <c r="S9" s="14">
        <v>46034</v>
      </c>
      <c r="T9" s="3">
        <v>5</v>
      </c>
      <c r="U9" s="3">
        <v>3</v>
      </c>
      <c r="V9" s="1" t="s">
        <v>34</v>
      </c>
      <c r="W9" s="3">
        <f>IF(Clean_Request_Template[[#This Row],[SLA_Met]]="Yes",1,0)</f>
        <v>1</v>
      </c>
    </row>
    <row r="10" spans="2:23" x14ac:dyDescent="0.3">
      <c r="B10" s="5" t="s">
        <v>73</v>
      </c>
      <c r="C10" s="14">
        <v>46033</v>
      </c>
      <c r="D10" s="31" t="s">
        <v>47</v>
      </c>
      <c r="E10" s="31" t="s">
        <v>37</v>
      </c>
      <c r="F10" s="31" t="s">
        <v>38</v>
      </c>
      <c r="G10" s="31" t="s">
        <v>39</v>
      </c>
      <c r="H10" s="1" t="s">
        <v>26</v>
      </c>
      <c r="I10" s="1" t="s">
        <v>74</v>
      </c>
      <c r="J10" s="31" t="s">
        <v>28</v>
      </c>
      <c r="K10" s="31" t="str">
        <f>_xlfn.XLOOKUP(Clean_Request_Template[[#This Row],[VendorID]],Vendors[VendorID],Vendors[VendorName],"Missing Vendor")</f>
        <v>Missing Vendor</v>
      </c>
      <c r="L10" s="1"/>
      <c r="M10" s="18">
        <v>12000</v>
      </c>
      <c r="N10" s="1" t="s">
        <v>31</v>
      </c>
      <c r="O10" s="3" t="s">
        <v>43</v>
      </c>
      <c r="P10" s="3" t="s">
        <v>44</v>
      </c>
      <c r="Q10" s="14">
        <v>46038</v>
      </c>
      <c r="R10" s="14">
        <v>46034</v>
      </c>
      <c r="S10" s="14">
        <v>46035</v>
      </c>
      <c r="T10" s="3">
        <v>8</v>
      </c>
      <c r="U10" s="3">
        <v>9</v>
      </c>
      <c r="V10" s="1" t="s">
        <v>45</v>
      </c>
      <c r="W10" s="3">
        <f>IF(Clean_Request_Template[[#This Row],[SLA_Met]]="Yes",1,0)</f>
        <v>0</v>
      </c>
    </row>
    <row r="11" spans="2:23" x14ac:dyDescent="0.3">
      <c r="B11" s="5" t="s">
        <v>75</v>
      </c>
      <c r="C11" s="14">
        <v>46034</v>
      </c>
      <c r="D11" s="31" t="s">
        <v>58</v>
      </c>
      <c r="E11" s="31" t="s">
        <v>390</v>
      </c>
      <c r="F11" s="31" t="s">
        <v>49</v>
      </c>
      <c r="G11" s="31" t="s">
        <v>50</v>
      </c>
      <c r="H11" s="1" t="s">
        <v>26</v>
      </c>
      <c r="I11" s="1" t="s">
        <v>76</v>
      </c>
      <c r="J11" s="31" t="s">
        <v>41</v>
      </c>
      <c r="K11" s="31" t="str">
        <f>_xlfn.XLOOKUP(Clean_Request_Template[[#This Row],[VendorID]],Vendors[VendorID],Vendors[VendorName],"Missing Vendor")</f>
        <v>Horizon Travel</v>
      </c>
      <c r="L11" s="1" t="s">
        <v>53</v>
      </c>
      <c r="M11" s="18">
        <v>450</v>
      </c>
      <c r="N11" s="1" t="s">
        <v>31</v>
      </c>
      <c r="O11" s="3" t="s">
        <v>55</v>
      </c>
      <c r="P11" s="3" t="s">
        <v>56</v>
      </c>
      <c r="Q11" s="14">
        <v>46039</v>
      </c>
      <c r="R11" s="14">
        <v>46035</v>
      </c>
      <c r="S11" s="14">
        <v>46036</v>
      </c>
      <c r="T11" s="3">
        <v>10</v>
      </c>
      <c r="U11" s="3">
        <v>7</v>
      </c>
      <c r="V11" s="1" t="s">
        <v>34</v>
      </c>
      <c r="W11" s="3">
        <f>IF(Clean_Request_Template[[#This Row],[SLA_Met]]="Yes",1,0)</f>
        <v>1</v>
      </c>
    </row>
    <row r="12" spans="2:23" x14ac:dyDescent="0.3">
      <c r="B12" s="5" t="s">
        <v>77</v>
      </c>
      <c r="C12" s="14">
        <v>46035</v>
      </c>
      <c r="D12" s="31" t="s">
        <v>22</v>
      </c>
      <c r="E12" s="31" t="s">
        <v>391</v>
      </c>
      <c r="F12" s="31" t="s">
        <v>60</v>
      </c>
      <c r="G12" s="31" t="s">
        <v>61</v>
      </c>
      <c r="H12" s="1" t="s">
        <v>26</v>
      </c>
      <c r="I12" s="1" t="s">
        <v>78</v>
      </c>
      <c r="J12" s="31" t="s">
        <v>52</v>
      </c>
      <c r="K12" s="31" t="str">
        <f>_xlfn.XLOOKUP(Clean_Request_Template[[#This Row],[VendorID]],Vendors[VendorID],Vendors[VendorName],"Missing Vendor")</f>
        <v>Delta Services</v>
      </c>
      <c r="L12" s="1" t="s">
        <v>63</v>
      </c>
      <c r="M12" s="18">
        <v>0</v>
      </c>
      <c r="N12" s="1" t="s">
        <v>31</v>
      </c>
      <c r="O12" s="3" t="s">
        <v>32</v>
      </c>
      <c r="P12" s="3" t="s">
        <v>33</v>
      </c>
      <c r="Q12" s="14">
        <v>46040</v>
      </c>
      <c r="R12" s="14">
        <v>46036</v>
      </c>
      <c r="S12" s="14">
        <v>46037</v>
      </c>
      <c r="T12" s="3">
        <v>3</v>
      </c>
      <c r="U12" s="3">
        <v>2</v>
      </c>
      <c r="V12" s="1" t="s">
        <v>34</v>
      </c>
      <c r="W12" s="3">
        <f>IF(Clean_Request_Template[[#This Row],[SLA_Met]]="Yes",1,0)</f>
        <v>1</v>
      </c>
    </row>
    <row r="13" spans="2:23" x14ac:dyDescent="0.3">
      <c r="B13" s="5" t="s">
        <v>79</v>
      </c>
      <c r="C13" s="14">
        <v>46036</v>
      </c>
      <c r="D13" s="31" t="s">
        <v>36</v>
      </c>
      <c r="E13" s="31" t="s">
        <v>392</v>
      </c>
      <c r="F13" s="31" t="s">
        <v>66</v>
      </c>
      <c r="G13" s="31" t="s">
        <v>67</v>
      </c>
      <c r="H13" s="1" t="s">
        <v>26</v>
      </c>
      <c r="I13" s="1" t="s">
        <v>80</v>
      </c>
      <c r="J13" s="31" t="s">
        <v>28</v>
      </c>
      <c r="K13" s="31" t="str">
        <f>_xlfn.XLOOKUP(Clean_Request_Template[[#This Row],[VendorID]],Vendors[VendorID],Vendors[VendorName],"Missing Vendor")</f>
        <v>Missing Vendor</v>
      </c>
      <c r="L13" s="1"/>
      <c r="M13" s="18">
        <v>8000</v>
      </c>
      <c r="N13" s="1" t="s">
        <v>31</v>
      </c>
      <c r="O13" s="3" t="s">
        <v>32</v>
      </c>
      <c r="P13" s="3" t="s">
        <v>70</v>
      </c>
      <c r="Q13" s="14">
        <v>46041</v>
      </c>
      <c r="R13" s="14">
        <v>46037</v>
      </c>
      <c r="S13" s="14">
        <v>46038</v>
      </c>
      <c r="T13" s="3">
        <v>5</v>
      </c>
      <c r="U13" s="3">
        <v>4</v>
      </c>
      <c r="V13" s="1" t="s">
        <v>34</v>
      </c>
      <c r="W13" s="3">
        <f>IF(Clean_Request_Template[[#This Row],[SLA_Met]]="Yes",1,0)</f>
        <v>1</v>
      </c>
    </row>
    <row r="14" spans="2:23" x14ac:dyDescent="0.3">
      <c r="B14" s="5" t="s">
        <v>81</v>
      </c>
      <c r="C14" s="14">
        <v>46037</v>
      </c>
      <c r="D14" s="31" t="s">
        <v>47</v>
      </c>
      <c r="E14" s="31" t="s">
        <v>23</v>
      </c>
      <c r="F14" s="31" t="s">
        <v>24</v>
      </c>
      <c r="G14" s="31" t="s">
        <v>25</v>
      </c>
      <c r="H14" s="1" t="s">
        <v>26</v>
      </c>
      <c r="I14" s="1" t="s">
        <v>82</v>
      </c>
      <c r="J14" s="31" t="s">
        <v>41</v>
      </c>
      <c r="K14" s="31" t="str">
        <f>_xlfn.XLOOKUP(Clean_Request_Template[[#This Row],[VendorID]],Vendors[VendorID],Vendors[VendorName],"Missing Vendor")</f>
        <v>Alpha Supplies</v>
      </c>
      <c r="L14" s="1" t="s">
        <v>29</v>
      </c>
      <c r="M14" s="18">
        <v>5000</v>
      </c>
      <c r="N14" s="1" t="s">
        <v>31</v>
      </c>
      <c r="O14" s="3" t="s">
        <v>32</v>
      </c>
      <c r="P14" s="3" t="s">
        <v>33</v>
      </c>
      <c r="Q14" s="14">
        <v>46042</v>
      </c>
      <c r="R14" s="14">
        <v>46038</v>
      </c>
      <c r="S14" s="14">
        <v>46039</v>
      </c>
      <c r="T14" s="3">
        <v>5</v>
      </c>
      <c r="U14" s="3">
        <v>3</v>
      </c>
      <c r="V14" s="1" t="s">
        <v>34</v>
      </c>
      <c r="W14" s="3">
        <f>IF(Clean_Request_Template[[#This Row],[SLA_Met]]="Yes",1,0)</f>
        <v>1</v>
      </c>
    </row>
    <row r="15" spans="2:23" x14ac:dyDescent="0.3">
      <c r="B15" s="5" t="s">
        <v>83</v>
      </c>
      <c r="C15" s="14">
        <v>46038</v>
      </c>
      <c r="D15" s="31" t="s">
        <v>58</v>
      </c>
      <c r="E15" s="31" t="s">
        <v>37</v>
      </c>
      <c r="F15" s="31" t="s">
        <v>38</v>
      </c>
      <c r="G15" s="31" t="s">
        <v>39</v>
      </c>
      <c r="H15" s="1" t="s">
        <v>26</v>
      </c>
      <c r="I15" s="1" t="s">
        <v>84</v>
      </c>
      <c r="J15" s="31" t="s">
        <v>52</v>
      </c>
      <c r="K15" s="31" t="str">
        <f>_xlfn.XLOOKUP(Clean_Request_Template[[#This Row],[VendorID]],Vendors[VendorID],Vendors[VendorName],"Missing Vendor")</f>
        <v>Missing Vendor</v>
      </c>
      <c r="L15" s="1"/>
      <c r="M15" s="18">
        <v>12000</v>
      </c>
      <c r="N15" s="1" t="s">
        <v>31</v>
      </c>
      <c r="O15" s="3" t="s">
        <v>43</v>
      </c>
      <c r="P15" s="3" t="s">
        <v>44</v>
      </c>
      <c r="Q15" s="14">
        <v>46043</v>
      </c>
      <c r="R15" s="14">
        <v>46039</v>
      </c>
      <c r="S15" s="14">
        <v>46040</v>
      </c>
      <c r="T15" s="3">
        <v>8</v>
      </c>
      <c r="U15" s="3">
        <v>9</v>
      </c>
      <c r="V15" s="1" t="s">
        <v>45</v>
      </c>
      <c r="W15" s="3">
        <f>IF(Clean_Request_Template[[#This Row],[SLA_Met]]="Yes",1,0)</f>
        <v>0</v>
      </c>
    </row>
    <row r="16" spans="2:23" x14ac:dyDescent="0.3">
      <c r="B16" s="5" t="s">
        <v>85</v>
      </c>
      <c r="C16" s="14">
        <v>46039</v>
      </c>
      <c r="D16" s="31" t="s">
        <v>22</v>
      </c>
      <c r="E16" s="31" t="s">
        <v>390</v>
      </c>
      <c r="F16" s="31" t="s">
        <v>49</v>
      </c>
      <c r="G16" s="31" t="s">
        <v>50</v>
      </c>
      <c r="H16" s="1" t="s">
        <v>26</v>
      </c>
      <c r="I16" s="1" t="s">
        <v>86</v>
      </c>
      <c r="J16" s="31" t="s">
        <v>28</v>
      </c>
      <c r="K16" s="31" t="str">
        <f>_xlfn.XLOOKUP(Clean_Request_Template[[#This Row],[VendorID]],Vendors[VendorID],Vendors[VendorName],"Missing Vendor")</f>
        <v>Horizon Travel</v>
      </c>
      <c r="L16" s="1" t="s">
        <v>53</v>
      </c>
      <c r="M16" s="18">
        <v>450</v>
      </c>
      <c r="N16" s="1" t="s">
        <v>31</v>
      </c>
      <c r="O16" s="3" t="s">
        <v>55</v>
      </c>
      <c r="P16" s="3" t="s">
        <v>56</v>
      </c>
      <c r="Q16" s="14">
        <v>46044</v>
      </c>
      <c r="R16" s="14">
        <v>46040</v>
      </c>
      <c r="S16" s="14">
        <v>46041</v>
      </c>
      <c r="T16" s="3">
        <v>10</v>
      </c>
      <c r="U16" s="3">
        <v>7</v>
      </c>
      <c r="V16" s="1" t="s">
        <v>34</v>
      </c>
      <c r="W16" s="3">
        <f>IF(Clean_Request_Template[[#This Row],[SLA_Met]]="Yes",1,0)</f>
        <v>1</v>
      </c>
    </row>
    <row r="17" spans="2:23" x14ac:dyDescent="0.3">
      <c r="B17" s="5" t="s">
        <v>87</v>
      </c>
      <c r="C17" s="14">
        <v>46040</v>
      </c>
      <c r="D17" s="31" t="s">
        <v>36</v>
      </c>
      <c r="E17" s="31" t="s">
        <v>391</v>
      </c>
      <c r="F17" s="31" t="s">
        <v>60</v>
      </c>
      <c r="G17" s="31" t="s">
        <v>61</v>
      </c>
      <c r="H17" s="1" t="s">
        <v>26</v>
      </c>
      <c r="I17" s="1" t="s">
        <v>88</v>
      </c>
      <c r="J17" s="31" t="s">
        <v>41</v>
      </c>
      <c r="K17" s="31" t="str">
        <f>_xlfn.XLOOKUP(Clean_Request_Template[[#This Row],[VendorID]],Vendors[VendorID],Vendors[VendorName],"Missing Vendor")</f>
        <v>Delta Services</v>
      </c>
      <c r="L17" s="1" t="s">
        <v>63</v>
      </c>
      <c r="M17" s="18">
        <v>0</v>
      </c>
      <c r="N17" s="1" t="s">
        <v>31</v>
      </c>
      <c r="O17" s="3" t="s">
        <v>32</v>
      </c>
      <c r="P17" s="3" t="s">
        <v>33</v>
      </c>
      <c r="Q17" s="14">
        <v>46045</v>
      </c>
      <c r="R17" s="14">
        <v>46041</v>
      </c>
      <c r="S17" s="14">
        <v>46042</v>
      </c>
      <c r="T17" s="3">
        <v>3</v>
      </c>
      <c r="U17" s="3">
        <v>2</v>
      </c>
      <c r="V17" s="1" t="s">
        <v>34</v>
      </c>
      <c r="W17" s="3">
        <f>IF(Clean_Request_Template[[#This Row],[SLA_Met]]="Yes",1,0)</f>
        <v>1</v>
      </c>
    </row>
    <row r="18" spans="2:23" x14ac:dyDescent="0.3">
      <c r="B18" s="5" t="s">
        <v>89</v>
      </c>
      <c r="C18" s="14">
        <v>46041</v>
      </c>
      <c r="D18" s="31" t="s">
        <v>47</v>
      </c>
      <c r="E18" s="31" t="s">
        <v>392</v>
      </c>
      <c r="F18" s="31" t="s">
        <v>66</v>
      </c>
      <c r="G18" s="31" t="s">
        <v>67</v>
      </c>
      <c r="H18" s="1" t="s">
        <v>26</v>
      </c>
      <c r="I18" s="1" t="s">
        <v>90</v>
      </c>
      <c r="J18" s="31" t="s">
        <v>52</v>
      </c>
      <c r="K18" s="31" t="str">
        <f>_xlfn.XLOOKUP(Clean_Request_Template[[#This Row],[VendorID]],Vendors[VendorID],Vendors[VendorName],"Missing Vendor")</f>
        <v>Missing Vendor</v>
      </c>
      <c r="L18" s="1"/>
      <c r="M18" s="18">
        <v>8000</v>
      </c>
      <c r="N18" s="1" t="s">
        <v>31</v>
      </c>
      <c r="O18" s="3" t="s">
        <v>32</v>
      </c>
      <c r="P18" s="3" t="s">
        <v>70</v>
      </c>
      <c r="Q18" s="14">
        <v>46046</v>
      </c>
      <c r="R18" s="14">
        <v>46042</v>
      </c>
      <c r="S18" s="14">
        <v>46043</v>
      </c>
      <c r="T18" s="3">
        <v>5</v>
      </c>
      <c r="U18" s="3">
        <v>4</v>
      </c>
      <c r="V18" s="1" t="s">
        <v>34</v>
      </c>
      <c r="W18" s="3">
        <f>IF(Clean_Request_Template[[#This Row],[SLA_Met]]="Yes",1,0)</f>
        <v>1</v>
      </c>
    </row>
    <row r="19" spans="2:23" x14ac:dyDescent="0.3">
      <c r="B19" s="5" t="s">
        <v>91</v>
      </c>
      <c r="C19" s="14">
        <v>46042</v>
      </c>
      <c r="D19" s="31" t="s">
        <v>58</v>
      </c>
      <c r="E19" s="31" t="s">
        <v>23</v>
      </c>
      <c r="F19" s="31" t="s">
        <v>24</v>
      </c>
      <c r="G19" s="31" t="s">
        <v>25</v>
      </c>
      <c r="H19" s="1" t="s">
        <v>26</v>
      </c>
      <c r="I19" s="1" t="s">
        <v>92</v>
      </c>
      <c r="J19" s="31" t="s">
        <v>28</v>
      </c>
      <c r="K19" s="31" t="str">
        <f>_xlfn.XLOOKUP(Clean_Request_Template[[#This Row],[VendorID]],Vendors[VendorID],Vendors[VendorName],"Missing Vendor")</f>
        <v>Alpha Supplies</v>
      </c>
      <c r="L19" s="1" t="s">
        <v>29</v>
      </c>
      <c r="M19" s="18">
        <v>5000</v>
      </c>
      <c r="N19" s="1" t="s">
        <v>31</v>
      </c>
      <c r="O19" s="3" t="s">
        <v>32</v>
      </c>
      <c r="P19" s="3" t="s">
        <v>33</v>
      </c>
      <c r="Q19" s="14">
        <v>46047</v>
      </c>
      <c r="R19" s="14">
        <v>46043</v>
      </c>
      <c r="S19" s="14">
        <v>46044</v>
      </c>
      <c r="T19" s="3">
        <v>5</v>
      </c>
      <c r="U19" s="3">
        <v>3</v>
      </c>
      <c r="V19" s="1" t="s">
        <v>34</v>
      </c>
      <c r="W19" s="3">
        <f>IF(Clean_Request_Template[[#This Row],[SLA_Met]]="Yes",1,0)</f>
        <v>1</v>
      </c>
    </row>
    <row r="20" spans="2:23" x14ac:dyDescent="0.3">
      <c r="B20" s="5" t="s">
        <v>93</v>
      </c>
      <c r="C20" s="14">
        <v>46043</v>
      </c>
      <c r="D20" s="31" t="s">
        <v>22</v>
      </c>
      <c r="E20" s="31" t="s">
        <v>37</v>
      </c>
      <c r="F20" s="31" t="s">
        <v>38</v>
      </c>
      <c r="G20" s="31" t="s">
        <v>39</v>
      </c>
      <c r="H20" s="1" t="s">
        <v>26</v>
      </c>
      <c r="I20" s="1" t="s">
        <v>94</v>
      </c>
      <c r="J20" s="31" t="s">
        <v>41</v>
      </c>
      <c r="K20" s="31" t="str">
        <f>_xlfn.XLOOKUP(Clean_Request_Template[[#This Row],[VendorID]],Vendors[VendorID],Vendors[VendorName],"Missing Vendor")</f>
        <v>Missing Vendor</v>
      </c>
      <c r="L20" s="1"/>
      <c r="M20" s="18">
        <v>12000</v>
      </c>
      <c r="N20" s="1" t="s">
        <v>31</v>
      </c>
      <c r="O20" s="3" t="s">
        <v>43</v>
      </c>
      <c r="P20" s="3" t="s">
        <v>44</v>
      </c>
      <c r="Q20" s="14">
        <v>46048</v>
      </c>
      <c r="R20" s="14">
        <v>46044</v>
      </c>
      <c r="S20" s="14">
        <v>46045</v>
      </c>
      <c r="T20" s="3">
        <v>8</v>
      </c>
      <c r="U20" s="3">
        <v>9</v>
      </c>
      <c r="V20" s="1" t="s">
        <v>45</v>
      </c>
      <c r="W20" s="3">
        <f>IF(Clean_Request_Template[[#This Row],[SLA_Met]]="Yes",1,0)</f>
        <v>0</v>
      </c>
    </row>
    <row r="21" spans="2:23" x14ac:dyDescent="0.3">
      <c r="B21" s="5" t="s">
        <v>95</v>
      </c>
      <c r="C21" s="14">
        <v>46044</v>
      </c>
      <c r="D21" s="31" t="s">
        <v>36</v>
      </c>
      <c r="E21" s="31" t="s">
        <v>390</v>
      </c>
      <c r="F21" s="31" t="s">
        <v>49</v>
      </c>
      <c r="G21" s="31" t="s">
        <v>50</v>
      </c>
      <c r="H21" s="1" t="s">
        <v>26</v>
      </c>
      <c r="I21" s="1" t="s">
        <v>96</v>
      </c>
      <c r="J21" s="31" t="s">
        <v>52</v>
      </c>
      <c r="K21" s="31" t="str">
        <f>_xlfn.XLOOKUP(Clean_Request_Template[[#This Row],[VendorID]],Vendors[VendorID],Vendors[VendorName],"Missing Vendor")</f>
        <v>Horizon Travel</v>
      </c>
      <c r="L21" s="1" t="s">
        <v>53</v>
      </c>
      <c r="M21" s="18">
        <v>450</v>
      </c>
      <c r="N21" s="1" t="s">
        <v>31</v>
      </c>
      <c r="O21" s="3" t="s">
        <v>55</v>
      </c>
      <c r="P21" s="3" t="s">
        <v>56</v>
      </c>
      <c r="Q21" s="14">
        <v>46049</v>
      </c>
      <c r="R21" s="14">
        <v>46045</v>
      </c>
      <c r="S21" s="14">
        <v>46046</v>
      </c>
      <c r="T21" s="3">
        <v>10</v>
      </c>
      <c r="U21" s="3">
        <v>7</v>
      </c>
      <c r="V21" s="1" t="s">
        <v>34</v>
      </c>
      <c r="W21" s="3">
        <f>IF(Clean_Request_Template[[#This Row],[SLA_Met]]="Yes",1,0)</f>
        <v>1</v>
      </c>
    </row>
    <row r="22" spans="2:23" x14ac:dyDescent="0.3">
      <c r="B22" s="5" t="s">
        <v>97</v>
      </c>
      <c r="C22" s="14">
        <v>46045</v>
      </c>
      <c r="D22" s="31" t="s">
        <v>47</v>
      </c>
      <c r="E22" s="31" t="s">
        <v>391</v>
      </c>
      <c r="F22" s="31" t="s">
        <v>60</v>
      </c>
      <c r="G22" s="31" t="s">
        <v>61</v>
      </c>
      <c r="H22" s="1" t="s">
        <v>26</v>
      </c>
      <c r="I22" s="1" t="s">
        <v>98</v>
      </c>
      <c r="J22" s="31" t="s">
        <v>28</v>
      </c>
      <c r="K22" s="31" t="str">
        <f>_xlfn.XLOOKUP(Clean_Request_Template[[#This Row],[VendorID]],Vendors[VendorID],Vendors[VendorName],"Missing Vendor")</f>
        <v>Delta Services</v>
      </c>
      <c r="L22" s="1" t="s">
        <v>63</v>
      </c>
      <c r="M22" s="18">
        <v>0</v>
      </c>
      <c r="N22" s="1" t="s">
        <v>31</v>
      </c>
      <c r="O22" s="3" t="s">
        <v>32</v>
      </c>
      <c r="P22" s="3" t="s">
        <v>33</v>
      </c>
      <c r="Q22" s="14">
        <v>46050</v>
      </c>
      <c r="R22" s="14">
        <v>46046</v>
      </c>
      <c r="S22" s="14">
        <v>46047</v>
      </c>
      <c r="T22" s="3">
        <v>3</v>
      </c>
      <c r="U22" s="3">
        <v>2</v>
      </c>
      <c r="V22" s="1" t="s">
        <v>34</v>
      </c>
      <c r="W22" s="3">
        <f>IF(Clean_Request_Template[[#This Row],[SLA_Met]]="Yes",1,0)</f>
        <v>1</v>
      </c>
    </row>
    <row r="23" spans="2:23" x14ac:dyDescent="0.3">
      <c r="B23" s="5" t="s">
        <v>99</v>
      </c>
      <c r="C23" s="14">
        <v>46046</v>
      </c>
      <c r="D23" s="31" t="s">
        <v>58</v>
      </c>
      <c r="E23" s="31" t="s">
        <v>392</v>
      </c>
      <c r="F23" s="31" t="s">
        <v>66</v>
      </c>
      <c r="G23" s="31" t="s">
        <v>67</v>
      </c>
      <c r="H23" s="1" t="s">
        <v>26</v>
      </c>
      <c r="I23" s="1" t="s">
        <v>100</v>
      </c>
      <c r="J23" s="31" t="s">
        <v>41</v>
      </c>
      <c r="K23" s="31" t="str">
        <f>_xlfn.XLOOKUP(Clean_Request_Template[[#This Row],[VendorID]],Vendors[VendorID],Vendors[VendorName],"Missing Vendor")</f>
        <v>Missing Vendor</v>
      </c>
      <c r="L23" s="1"/>
      <c r="M23" s="18">
        <v>8000</v>
      </c>
      <c r="N23" s="1" t="s">
        <v>31</v>
      </c>
      <c r="O23" s="3" t="s">
        <v>32</v>
      </c>
      <c r="P23" s="3" t="s">
        <v>70</v>
      </c>
      <c r="Q23" s="14">
        <v>46051</v>
      </c>
      <c r="R23" s="14">
        <v>46047</v>
      </c>
      <c r="S23" s="14">
        <v>46048</v>
      </c>
      <c r="T23" s="3">
        <v>5</v>
      </c>
      <c r="U23" s="3">
        <v>4</v>
      </c>
      <c r="V23" s="1" t="s">
        <v>34</v>
      </c>
      <c r="W23" s="3">
        <f>IF(Clean_Request_Template[[#This Row],[SLA_Met]]="Yes",1,0)</f>
        <v>1</v>
      </c>
    </row>
    <row r="24" spans="2:23" x14ac:dyDescent="0.3">
      <c r="B24" s="5" t="s">
        <v>101</v>
      </c>
      <c r="C24" s="14">
        <v>46047</v>
      </c>
      <c r="D24" s="31" t="s">
        <v>22</v>
      </c>
      <c r="E24" s="31" t="s">
        <v>23</v>
      </c>
      <c r="F24" s="31" t="s">
        <v>24</v>
      </c>
      <c r="G24" s="31" t="s">
        <v>25</v>
      </c>
      <c r="H24" s="1" t="s">
        <v>26</v>
      </c>
      <c r="I24" s="1" t="s">
        <v>102</v>
      </c>
      <c r="J24" s="31" t="s">
        <v>52</v>
      </c>
      <c r="K24" s="31" t="str">
        <f>_xlfn.XLOOKUP(Clean_Request_Template[[#This Row],[VendorID]],Vendors[VendorID],Vendors[VendorName],"Missing Vendor")</f>
        <v>Alpha Supplies</v>
      </c>
      <c r="L24" s="1" t="s">
        <v>29</v>
      </c>
      <c r="M24" s="18">
        <v>5000</v>
      </c>
      <c r="N24" s="1" t="s">
        <v>31</v>
      </c>
      <c r="O24" s="3" t="s">
        <v>32</v>
      </c>
      <c r="P24" s="3" t="s">
        <v>33</v>
      </c>
      <c r="Q24" s="14">
        <v>46052</v>
      </c>
      <c r="R24" s="14">
        <v>46048</v>
      </c>
      <c r="S24" s="14">
        <v>46049</v>
      </c>
      <c r="T24" s="3">
        <v>5</v>
      </c>
      <c r="U24" s="3">
        <v>3</v>
      </c>
      <c r="V24" s="1" t="s">
        <v>34</v>
      </c>
      <c r="W24" s="3">
        <f>IF(Clean_Request_Template[[#This Row],[SLA_Met]]="Yes",1,0)</f>
        <v>1</v>
      </c>
    </row>
    <row r="25" spans="2:23" x14ac:dyDescent="0.3">
      <c r="B25" s="5" t="s">
        <v>103</v>
      </c>
      <c r="C25" s="14">
        <v>46048</v>
      </c>
      <c r="D25" s="31" t="s">
        <v>36</v>
      </c>
      <c r="E25" s="31" t="s">
        <v>37</v>
      </c>
      <c r="F25" s="31" t="s">
        <v>38</v>
      </c>
      <c r="G25" s="31" t="s">
        <v>39</v>
      </c>
      <c r="H25" s="1" t="s">
        <v>26</v>
      </c>
      <c r="I25" s="1" t="s">
        <v>104</v>
      </c>
      <c r="J25" s="31" t="s">
        <v>28</v>
      </c>
      <c r="K25" s="31" t="str">
        <f>_xlfn.XLOOKUP(Clean_Request_Template[[#This Row],[VendorID]],Vendors[VendorID],Vendors[VendorName],"Missing Vendor")</f>
        <v>Missing Vendor</v>
      </c>
      <c r="L25" s="1"/>
      <c r="M25" s="18">
        <v>12000</v>
      </c>
      <c r="N25" s="1" t="s">
        <v>31</v>
      </c>
      <c r="O25" s="3" t="s">
        <v>43</v>
      </c>
      <c r="P25" s="3" t="s">
        <v>44</v>
      </c>
      <c r="Q25" s="14">
        <v>46053</v>
      </c>
      <c r="R25" s="14">
        <v>46049</v>
      </c>
      <c r="S25" s="14">
        <v>46050</v>
      </c>
      <c r="T25" s="3">
        <v>8</v>
      </c>
      <c r="U25" s="3">
        <v>9</v>
      </c>
      <c r="V25" s="1" t="s">
        <v>45</v>
      </c>
      <c r="W25" s="3">
        <f>IF(Clean_Request_Template[[#This Row],[SLA_Met]]="Yes",1,0)</f>
        <v>0</v>
      </c>
    </row>
    <row r="26" spans="2:23" x14ac:dyDescent="0.3">
      <c r="B26" s="5" t="s">
        <v>105</v>
      </c>
      <c r="C26" s="14">
        <v>46049</v>
      </c>
      <c r="D26" s="31" t="s">
        <v>47</v>
      </c>
      <c r="E26" s="31" t="s">
        <v>390</v>
      </c>
      <c r="F26" s="31" t="s">
        <v>49</v>
      </c>
      <c r="G26" s="31" t="s">
        <v>50</v>
      </c>
      <c r="H26" s="1" t="s">
        <v>26</v>
      </c>
      <c r="I26" s="1" t="s">
        <v>106</v>
      </c>
      <c r="J26" s="31" t="s">
        <v>41</v>
      </c>
      <c r="K26" s="31" t="str">
        <f>_xlfn.XLOOKUP(Clean_Request_Template[[#This Row],[VendorID]],Vendors[VendorID],Vendors[VendorName],"Missing Vendor")</f>
        <v>Horizon Travel</v>
      </c>
      <c r="L26" s="1" t="s">
        <v>53</v>
      </c>
      <c r="M26" s="18">
        <v>450</v>
      </c>
      <c r="N26" s="1" t="s">
        <v>31</v>
      </c>
      <c r="O26" s="3" t="s">
        <v>55</v>
      </c>
      <c r="P26" s="3" t="s">
        <v>56</v>
      </c>
      <c r="Q26" s="14">
        <v>46054</v>
      </c>
      <c r="R26" s="14">
        <v>46050</v>
      </c>
      <c r="S26" s="14">
        <v>46051</v>
      </c>
      <c r="T26" s="3">
        <v>10</v>
      </c>
      <c r="U26" s="3">
        <v>7</v>
      </c>
      <c r="V26" s="1" t="s">
        <v>34</v>
      </c>
      <c r="W26" s="3">
        <f>IF(Clean_Request_Template[[#This Row],[SLA_Met]]="Yes",1,0)</f>
        <v>1</v>
      </c>
    </row>
    <row r="27" spans="2:23" x14ac:dyDescent="0.3">
      <c r="B27" s="5" t="s">
        <v>107</v>
      </c>
      <c r="C27" s="14">
        <v>46050</v>
      </c>
      <c r="D27" s="31" t="s">
        <v>58</v>
      </c>
      <c r="E27" s="31" t="s">
        <v>391</v>
      </c>
      <c r="F27" s="31" t="s">
        <v>60</v>
      </c>
      <c r="G27" s="31" t="s">
        <v>61</v>
      </c>
      <c r="H27" s="1" t="s">
        <v>26</v>
      </c>
      <c r="I27" s="1" t="s">
        <v>108</v>
      </c>
      <c r="J27" s="31" t="s">
        <v>52</v>
      </c>
      <c r="K27" s="31" t="str">
        <f>_xlfn.XLOOKUP(Clean_Request_Template[[#This Row],[VendorID]],Vendors[VendorID],Vendors[VendorName],"Missing Vendor")</f>
        <v>Delta Services</v>
      </c>
      <c r="L27" s="1" t="s">
        <v>63</v>
      </c>
      <c r="M27" s="18">
        <v>0</v>
      </c>
      <c r="N27" s="1" t="s">
        <v>31</v>
      </c>
      <c r="O27" s="3" t="s">
        <v>32</v>
      </c>
      <c r="P27" s="3" t="s">
        <v>33</v>
      </c>
      <c r="Q27" s="14">
        <v>46055</v>
      </c>
      <c r="R27" s="14">
        <v>46051</v>
      </c>
      <c r="S27" s="14">
        <v>46052</v>
      </c>
      <c r="T27" s="3">
        <v>3</v>
      </c>
      <c r="U27" s="3">
        <v>2</v>
      </c>
      <c r="V27" s="1" t="s">
        <v>34</v>
      </c>
      <c r="W27" s="3">
        <f>IF(Clean_Request_Template[[#This Row],[SLA_Met]]="Yes",1,0)</f>
        <v>1</v>
      </c>
    </row>
    <row r="28" spans="2:23" x14ac:dyDescent="0.3">
      <c r="B28" s="5" t="s">
        <v>109</v>
      </c>
      <c r="C28" s="14">
        <v>46051</v>
      </c>
      <c r="D28" s="31" t="s">
        <v>22</v>
      </c>
      <c r="E28" s="31" t="s">
        <v>392</v>
      </c>
      <c r="F28" s="31" t="s">
        <v>66</v>
      </c>
      <c r="G28" s="31" t="s">
        <v>67</v>
      </c>
      <c r="H28" s="1" t="s">
        <v>26</v>
      </c>
      <c r="I28" s="1" t="s">
        <v>110</v>
      </c>
      <c r="J28" s="31" t="s">
        <v>28</v>
      </c>
      <c r="K28" s="31" t="str">
        <f>_xlfn.XLOOKUP(Clean_Request_Template[[#This Row],[VendorID]],Vendors[VendorID],Vendors[VendorName],"Missing Vendor")</f>
        <v>Missing Vendor</v>
      </c>
      <c r="L28" s="1"/>
      <c r="M28" s="18">
        <v>8000</v>
      </c>
      <c r="N28" s="1" t="s">
        <v>31</v>
      </c>
      <c r="O28" s="3" t="s">
        <v>32</v>
      </c>
      <c r="P28" s="3" t="s">
        <v>70</v>
      </c>
      <c r="Q28" s="14">
        <v>46056</v>
      </c>
      <c r="R28" s="14">
        <v>46052</v>
      </c>
      <c r="S28" s="14">
        <v>46053</v>
      </c>
      <c r="T28" s="3">
        <v>5</v>
      </c>
      <c r="U28" s="3">
        <v>4</v>
      </c>
      <c r="V28" s="1" t="s">
        <v>34</v>
      </c>
      <c r="W28" s="3">
        <f>IF(Clean_Request_Template[[#This Row],[SLA_Met]]="Yes",1,0)</f>
        <v>1</v>
      </c>
    </row>
    <row r="29" spans="2:23" x14ac:dyDescent="0.3">
      <c r="B29" s="5" t="s">
        <v>111</v>
      </c>
      <c r="C29" s="14">
        <v>46052</v>
      </c>
      <c r="D29" s="31" t="s">
        <v>36</v>
      </c>
      <c r="E29" s="31" t="s">
        <v>23</v>
      </c>
      <c r="F29" s="31" t="s">
        <v>24</v>
      </c>
      <c r="G29" s="31" t="s">
        <v>25</v>
      </c>
      <c r="H29" s="1" t="s">
        <v>26</v>
      </c>
      <c r="I29" s="1" t="s">
        <v>112</v>
      </c>
      <c r="J29" s="31" t="s">
        <v>41</v>
      </c>
      <c r="K29" s="31" t="str">
        <f>_xlfn.XLOOKUP(Clean_Request_Template[[#This Row],[VendorID]],Vendors[VendorID],Vendors[VendorName],"Missing Vendor")</f>
        <v>Alpha Supplies</v>
      </c>
      <c r="L29" s="1" t="s">
        <v>29</v>
      </c>
      <c r="M29" s="18">
        <v>5000</v>
      </c>
      <c r="N29" s="1" t="s">
        <v>31</v>
      </c>
      <c r="O29" s="3" t="s">
        <v>32</v>
      </c>
      <c r="P29" s="3" t="s">
        <v>33</v>
      </c>
      <c r="Q29" s="14">
        <v>46057</v>
      </c>
      <c r="R29" s="14">
        <v>46053</v>
      </c>
      <c r="S29" s="14">
        <v>46054</v>
      </c>
      <c r="T29" s="3">
        <v>5</v>
      </c>
      <c r="U29" s="3">
        <v>3</v>
      </c>
      <c r="V29" s="1" t="s">
        <v>34</v>
      </c>
      <c r="W29" s="3">
        <f>IF(Clean_Request_Template[[#This Row],[SLA_Met]]="Yes",1,0)</f>
        <v>1</v>
      </c>
    </row>
    <row r="30" spans="2:23" x14ac:dyDescent="0.3">
      <c r="B30" s="5" t="s">
        <v>113</v>
      </c>
      <c r="C30" s="14">
        <v>46053</v>
      </c>
      <c r="D30" s="31" t="s">
        <v>47</v>
      </c>
      <c r="E30" s="31" t="s">
        <v>37</v>
      </c>
      <c r="F30" s="31" t="s">
        <v>38</v>
      </c>
      <c r="G30" s="31" t="s">
        <v>39</v>
      </c>
      <c r="H30" s="1" t="s">
        <v>26</v>
      </c>
      <c r="I30" s="1" t="s">
        <v>114</v>
      </c>
      <c r="J30" s="31" t="s">
        <v>52</v>
      </c>
      <c r="K30" s="31" t="str">
        <f>_xlfn.XLOOKUP(Clean_Request_Template[[#This Row],[VendorID]],Vendors[VendorID],Vendors[VendorName],"Missing Vendor")</f>
        <v>Missing Vendor</v>
      </c>
      <c r="L30" s="1"/>
      <c r="M30" s="18">
        <v>12000</v>
      </c>
      <c r="N30" s="1" t="s">
        <v>31</v>
      </c>
      <c r="O30" s="3" t="s">
        <v>43</v>
      </c>
      <c r="P30" s="3" t="s">
        <v>44</v>
      </c>
      <c r="Q30" s="14">
        <v>46058</v>
      </c>
      <c r="R30" s="14">
        <v>46054</v>
      </c>
      <c r="S30" s="14">
        <v>46055</v>
      </c>
      <c r="T30" s="3">
        <v>8</v>
      </c>
      <c r="U30" s="3">
        <v>9</v>
      </c>
      <c r="V30" s="1" t="s">
        <v>45</v>
      </c>
      <c r="W30" s="3">
        <f>IF(Clean_Request_Template[[#This Row],[SLA_Met]]="Yes",1,0)</f>
        <v>0</v>
      </c>
    </row>
    <row r="31" spans="2:23" x14ac:dyDescent="0.3">
      <c r="B31" s="5" t="s">
        <v>115</v>
      </c>
      <c r="C31" s="14">
        <v>46054</v>
      </c>
      <c r="D31" s="31" t="s">
        <v>58</v>
      </c>
      <c r="E31" s="31" t="s">
        <v>390</v>
      </c>
      <c r="F31" s="31" t="s">
        <v>49</v>
      </c>
      <c r="G31" s="31" t="s">
        <v>50</v>
      </c>
      <c r="H31" s="1" t="s">
        <v>26</v>
      </c>
      <c r="I31" s="1" t="s">
        <v>116</v>
      </c>
      <c r="J31" s="31" t="s">
        <v>28</v>
      </c>
      <c r="K31" s="31" t="str">
        <f>_xlfn.XLOOKUP(Clean_Request_Template[[#This Row],[VendorID]],Vendors[VendorID],Vendors[VendorName],"Missing Vendor")</f>
        <v>Horizon Travel</v>
      </c>
      <c r="L31" s="1" t="s">
        <v>53</v>
      </c>
      <c r="M31" s="18">
        <v>450</v>
      </c>
      <c r="N31" s="1" t="s">
        <v>31</v>
      </c>
      <c r="O31" s="3" t="s">
        <v>55</v>
      </c>
      <c r="P31" s="3" t="s">
        <v>56</v>
      </c>
      <c r="Q31" s="14">
        <v>46059</v>
      </c>
      <c r="R31" s="14">
        <v>46055</v>
      </c>
      <c r="S31" s="14">
        <v>46056</v>
      </c>
      <c r="T31" s="3">
        <v>10</v>
      </c>
      <c r="U31" s="3">
        <v>7</v>
      </c>
      <c r="V31" s="1" t="s">
        <v>34</v>
      </c>
      <c r="W31" s="3">
        <f>IF(Clean_Request_Template[[#This Row],[SLA_Met]]="Yes",1,0)</f>
        <v>1</v>
      </c>
    </row>
    <row r="32" spans="2:23" x14ac:dyDescent="0.3">
      <c r="B32" s="5" t="s">
        <v>117</v>
      </c>
      <c r="C32" s="14">
        <v>46055</v>
      </c>
      <c r="D32" s="31" t="s">
        <v>22</v>
      </c>
      <c r="E32" s="31" t="s">
        <v>391</v>
      </c>
      <c r="F32" s="31" t="s">
        <v>60</v>
      </c>
      <c r="G32" s="31" t="s">
        <v>61</v>
      </c>
      <c r="H32" s="1" t="s">
        <v>26</v>
      </c>
      <c r="I32" s="1" t="s">
        <v>118</v>
      </c>
      <c r="J32" s="31" t="s">
        <v>41</v>
      </c>
      <c r="K32" s="31" t="str">
        <f>_xlfn.XLOOKUP(Clean_Request_Template[[#This Row],[VendorID]],Vendors[VendorID],Vendors[VendorName],"Missing Vendor")</f>
        <v>Delta Services</v>
      </c>
      <c r="L32" s="1" t="s">
        <v>63</v>
      </c>
      <c r="M32" s="18">
        <v>0</v>
      </c>
      <c r="N32" s="1" t="s">
        <v>31</v>
      </c>
      <c r="O32" s="3" t="s">
        <v>32</v>
      </c>
      <c r="P32" s="3" t="s">
        <v>33</v>
      </c>
      <c r="Q32" s="14">
        <v>46060</v>
      </c>
      <c r="R32" s="14">
        <v>46056</v>
      </c>
      <c r="S32" s="14">
        <v>46057</v>
      </c>
      <c r="T32" s="3">
        <v>3</v>
      </c>
      <c r="U32" s="3">
        <v>2</v>
      </c>
      <c r="V32" s="1" t="s">
        <v>34</v>
      </c>
      <c r="W32" s="3">
        <f>IF(Clean_Request_Template[[#This Row],[SLA_Met]]="Yes",1,0)</f>
        <v>1</v>
      </c>
    </row>
    <row r="33" spans="2:23" x14ac:dyDescent="0.3">
      <c r="B33" s="5" t="s">
        <v>119</v>
      </c>
      <c r="C33" s="14">
        <v>46056</v>
      </c>
      <c r="D33" s="31" t="s">
        <v>36</v>
      </c>
      <c r="E33" s="31" t="s">
        <v>392</v>
      </c>
      <c r="F33" s="31" t="s">
        <v>66</v>
      </c>
      <c r="G33" s="31" t="s">
        <v>67</v>
      </c>
      <c r="H33" s="1" t="s">
        <v>26</v>
      </c>
      <c r="I33" s="1" t="s">
        <v>120</v>
      </c>
      <c r="J33" s="31" t="s">
        <v>52</v>
      </c>
      <c r="K33" s="31" t="str">
        <f>_xlfn.XLOOKUP(Clean_Request_Template[[#This Row],[VendorID]],Vendors[VendorID],Vendors[VendorName],"Missing Vendor")</f>
        <v>Missing Vendor</v>
      </c>
      <c r="L33" s="1"/>
      <c r="M33" s="18">
        <v>8000</v>
      </c>
      <c r="N33" s="1" t="s">
        <v>31</v>
      </c>
      <c r="O33" s="3" t="s">
        <v>32</v>
      </c>
      <c r="P33" s="3" t="s">
        <v>70</v>
      </c>
      <c r="Q33" s="14">
        <v>46061</v>
      </c>
      <c r="R33" s="14">
        <v>46057</v>
      </c>
      <c r="S33" s="14">
        <v>46058</v>
      </c>
      <c r="T33" s="3">
        <v>5</v>
      </c>
      <c r="U33" s="3">
        <v>4</v>
      </c>
      <c r="V33" s="1" t="s">
        <v>34</v>
      </c>
      <c r="W33" s="3">
        <f>IF(Clean_Request_Template[[#This Row],[SLA_Met]]="Yes",1,0)</f>
        <v>1</v>
      </c>
    </row>
    <row r="34" spans="2:23" x14ac:dyDescent="0.3">
      <c r="B34" s="5" t="s">
        <v>121</v>
      </c>
      <c r="C34" s="14">
        <v>46057</v>
      </c>
      <c r="D34" s="31" t="s">
        <v>47</v>
      </c>
      <c r="E34" s="31" t="s">
        <v>23</v>
      </c>
      <c r="F34" s="31" t="s">
        <v>24</v>
      </c>
      <c r="G34" s="31" t="s">
        <v>25</v>
      </c>
      <c r="H34" s="1" t="s">
        <v>26</v>
      </c>
      <c r="I34" s="1" t="s">
        <v>122</v>
      </c>
      <c r="J34" s="31" t="s">
        <v>28</v>
      </c>
      <c r="K34" s="31" t="str">
        <f>_xlfn.XLOOKUP(Clean_Request_Template[[#This Row],[VendorID]],Vendors[VendorID],Vendors[VendorName],"Missing Vendor")</f>
        <v>Alpha Supplies</v>
      </c>
      <c r="L34" s="1" t="s">
        <v>29</v>
      </c>
      <c r="M34" s="18">
        <v>5000</v>
      </c>
      <c r="N34" s="1" t="s">
        <v>31</v>
      </c>
      <c r="O34" s="3" t="s">
        <v>32</v>
      </c>
      <c r="P34" s="3" t="s">
        <v>33</v>
      </c>
      <c r="Q34" s="14">
        <v>46062</v>
      </c>
      <c r="R34" s="14">
        <v>46058</v>
      </c>
      <c r="S34" s="14">
        <v>46059</v>
      </c>
      <c r="T34" s="3">
        <v>5</v>
      </c>
      <c r="U34" s="3">
        <v>3</v>
      </c>
      <c r="V34" s="1" t="s">
        <v>34</v>
      </c>
      <c r="W34" s="3">
        <f>IF(Clean_Request_Template[[#This Row],[SLA_Met]]="Yes",1,0)</f>
        <v>1</v>
      </c>
    </row>
    <row r="35" spans="2:23" x14ac:dyDescent="0.3">
      <c r="B35" s="5" t="s">
        <v>123</v>
      </c>
      <c r="C35" s="14">
        <v>46058</v>
      </c>
      <c r="D35" s="31" t="s">
        <v>58</v>
      </c>
      <c r="E35" s="31" t="s">
        <v>37</v>
      </c>
      <c r="F35" s="31" t="s">
        <v>38</v>
      </c>
      <c r="G35" s="31" t="s">
        <v>39</v>
      </c>
      <c r="H35" s="1" t="s">
        <v>26</v>
      </c>
      <c r="I35" s="1" t="s">
        <v>124</v>
      </c>
      <c r="J35" s="31" t="s">
        <v>41</v>
      </c>
      <c r="K35" s="31" t="str">
        <f>_xlfn.XLOOKUP(Clean_Request_Template[[#This Row],[VendorID]],Vendors[VendorID],Vendors[VendorName],"Missing Vendor")</f>
        <v>Missing Vendor</v>
      </c>
      <c r="L35" s="1"/>
      <c r="M35" s="18">
        <v>12000</v>
      </c>
      <c r="N35" s="1" t="s">
        <v>31</v>
      </c>
      <c r="O35" s="3" t="s">
        <v>43</v>
      </c>
      <c r="P35" s="3" t="s">
        <v>44</v>
      </c>
      <c r="Q35" s="14">
        <v>46063</v>
      </c>
      <c r="R35" s="14">
        <v>46059</v>
      </c>
      <c r="S35" s="14">
        <v>46060</v>
      </c>
      <c r="T35" s="3">
        <v>8</v>
      </c>
      <c r="U35" s="3">
        <v>9</v>
      </c>
      <c r="V35" s="1" t="s">
        <v>45</v>
      </c>
      <c r="W35" s="3">
        <f>IF(Clean_Request_Template[[#This Row],[SLA_Met]]="Yes",1,0)</f>
        <v>0</v>
      </c>
    </row>
    <row r="36" spans="2:23" x14ac:dyDescent="0.3">
      <c r="B36" s="5" t="s">
        <v>125</v>
      </c>
      <c r="C36" s="14">
        <v>46059</v>
      </c>
      <c r="D36" s="31" t="s">
        <v>22</v>
      </c>
      <c r="E36" s="31" t="s">
        <v>390</v>
      </c>
      <c r="F36" s="31" t="s">
        <v>49</v>
      </c>
      <c r="G36" s="31" t="s">
        <v>50</v>
      </c>
      <c r="H36" s="1" t="s">
        <v>26</v>
      </c>
      <c r="I36" s="1" t="s">
        <v>126</v>
      </c>
      <c r="J36" s="31" t="s">
        <v>52</v>
      </c>
      <c r="K36" s="31" t="str">
        <f>_xlfn.XLOOKUP(Clean_Request_Template[[#This Row],[VendorID]],Vendors[VendorID],Vendors[VendorName],"Missing Vendor")</f>
        <v>Horizon Travel</v>
      </c>
      <c r="L36" s="1" t="s">
        <v>53</v>
      </c>
      <c r="M36" s="18">
        <v>450</v>
      </c>
      <c r="N36" s="1" t="s">
        <v>31</v>
      </c>
      <c r="O36" s="3" t="s">
        <v>55</v>
      </c>
      <c r="P36" s="3" t="s">
        <v>56</v>
      </c>
      <c r="Q36" s="14">
        <v>46064</v>
      </c>
      <c r="R36" s="14">
        <v>46060</v>
      </c>
      <c r="S36" s="14">
        <v>46061</v>
      </c>
      <c r="T36" s="3">
        <v>10</v>
      </c>
      <c r="U36" s="3">
        <v>7</v>
      </c>
      <c r="V36" s="1" t="s">
        <v>34</v>
      </c>
      <c r="W36" s="3">
        <f>IF(Clean_Request_Template[[#This Row],[SLA_Met]]="Yes",1,0)</f>
        <v>1</v>
      </c>
    </row>
    <row r="37" spans="2:23" x14ac:dyDescent="0.3">
      <c r="B37" s="5" t="s">
        <v>127</v>
      </c>
      <c r="C37" s="14">
        <v>46060</v>
      </c>
      <c r="D37" s="31" t="s">
        <v>36</v>
      </c>
      <c r="E37" s="31" t="s">
        <v>391</v>
      </c>
      <c r="F37" s="31" t="s">
        <v>60</v>
      </c>
      <c r="G37" s="31" t="s">
        <v>61</v>
      </c>
      <c r="H37" s="1" t="s">
        <v>26</v>
      </c>
      <c r="I37" s="1" t="s">
        <v>128</v>
      </c>
      <c r="J37" s="31" t="s">
        <v>28</v>
      </c>
      <c r="K37" s="31" t="str">
        <f>_xlfn.XLOOKUP(Clean_Request_Template[[#This Row],[VendorID]],Vendors[VendorID],Vendors[VendorName],"Missing Vendor")</f>
        <v>Delta Services</v>
      </c>
      <c r="L37" s="1" t="s">
        <v>63</v>
      </c>
      <c r="M37" s="18">
        <v>0</v>
      </c>
      <c r="N37" s="1" t="s">
        <v>31</v>
      </c>
      <c r="O37" s="3" t="s">
        <v>32</v>
      </c>
      <c r="P37" s="3" t="s">
        <v>33</v>
      </c>
      <c r="Q37" s="14">
        <v>46065</v>
      </c>
      <c r="R37" s="14">
        <v>46061</v>
      </c>
      <c r="S37" s="14">
        <v>46062</v>
      </c>
      <c r="T37" s="3">
        <v>3</v>
      </c>
      <c r="U37" s="3">
        <v>2</v>
      </c>
      <c r="V37" s="1" t="s">
        <v>34</v>
      </c>
      <c r="W37" s="3">
        <f>IF(Clean_Request_Template[[#This Row],[SLA_Met]]="Yes",1,0)</f>
        <v>1</v>
      </c>
    </row>
    <row r="38" spans="2:23" x14ac:dyDescent="0.3">
      <c r="B38" s="5" t="s">
        <v>129</v>
      </c>
      <c r="C38" s="14">
        <v>46061</v>
      </c>
      <c r="D38" s="31" t="s">
        <v>47</v>
      </c>
      <c r="E38" s="31" t="s">
        <v>392</v>
      </c>
      <c r="F38" s="31" t="s">
        <v>66</v>
      </c>
      <c r="G38" s="31" t="s">
        <v>67</v>
      </c>
      <c r="H38" s="1" t="s">
        <v>26</v>
      </c>
      <c r="I38" s="1" t="s">
        <v>130</v>
      </c>
      <c r="J38" s="31" t="s">
        <v>41</v>
      </c>
      <c r="K38" s="31" t="str">
        <f>_xlfn.XLOOKUP(Clean_Request_Template[[#This Row],[VendorID]],Vendors[VendorID],Vendors[VendorName],"Missing Vendor")</f>
        <v>Missing Vendor</v>
      </c>
      <c r="L38" s="1"/>
      <c r="M38" s="18">
        <v>8000</v>
      </c>
      <c r="N38" s="1" t="s">
        <v>31</v>
      </c>
      <c r="O38" s="3" t="s">
        <v>32</v>
      </c>
      <c r="P38" s="3" t="s">
        <v>70</v>
      </c>
      <c r="Q38" s="14">
        <v>46066</v>
      </c>
      <c r="R38" s="14">
        <v>46062</v>
      </c>
      <c r="S38" s="14">
        <v>46063</v>
      </c>
      <c r="T38" s="3">
        <v>5</v>
      </c>
      <c r="U38" s="3">
        <v>4</v>
      </c>
      <c r="V38" s="1" t="s">
        <v>34</v>
      </c>
      <c r="W38" s="3">
        <f>IF(Clean_Request_Template[[#This Row],[SLA_Met]]="Yes",1,0)</f>
        <v>1</v>
      </c>
    </row>
    <row r="39" spans="2:23" x14ac:dyDescent="0.3">
      <c r="B39" s="5" t="s">
        <v>131</v>
      </c>
      <c r="C39" s="14">
        <v>46062</v>
      </c>
      <c r="D39" s="31" t="s">
        <v>58</v>
      </c>
      <c r="E39" s="31" t="s">
        <v>23</v>
      </c>
      <c r="F39" s="31" t="s">
        <v>24</v>
      </c>
      <c r="G39" s="31" t="s">
        <v>25</v>
      </c>
      <c r="H39" s="1" t="s">
        <v>26</v>
      </c>
      <c r="I39" s="1" t="s">
        <v>132</v>
      </c>
      <c r="J39" s="31" t="s">
        <v>52</v>
      </c>
      <c r="K39" s="31" t="str">
        <f>_xlfn.XLOOKUP(Clean_Request_Template[[#This Row],[VendorID]],Vendors[VendorID],Vendors[VendorName],"Missing Vendor")</f>
        <v>Alpha Supplies</v>
      </c>
      <c r="L39" s="1" t="s">
        <v>29</v>
      </c>
      <c r="M39" s="18">
        <v>5000</v>
      </c>
      <c r="N39" s="1" t="s">
        <v>31</v>
      </c>
      <c r="O39" s="3" t="s">
        <v>32</v>
      </c>
      <c r="P39" s="3" t="s">
        <v>33</v>
      </c>
      <c r="Q39" s="14">
        <v>46067</v>
      </c>
      <c r="R39" s="14">
        <v>46063</v>
      </c>
      <c r="S39" s="14">
        <v>46064</v>
      </c>
      <c r="T39" s="3">
        <v>5</v>
      </c>
      <c r="U39" s="3">
        <v>3</v>
      </c>
      <c r="V39" s="1" t="s">
        <v>34</v>
      </c>
      <c r="W39" s="3">
        <f>IF(Clean_Request_Template[[#This Row],[SLA_Met]]="Yes",1,0)</f>
        <v>1</v>
      </c>
    </row>
    <row r="40" spans="2:23" x14ac:dyDescent="0.3">
      <c r="B40" s="5" t="s">
        <v>133</v>
      </c>
      <c r="C40" s="14">
        <v>46063</v>
      </c>
      <c r="D40" s="31" t="s">
        <v>22</v>
      </c>
      <c r="E40" s="31" t="s">
        <v>37</v>
      </c>
      <c r="F40" s="31" t="s">
        <v>38</v>
      </c>
      <c r="G40" s="31" t="s">
        <v>39</v>
      </c>
      <c r="H40" s="1" t="s">
        <v>26</v>
      </c>
      <c r="I40" s="1" t="s">
        <v>134</v>
      </c>
      <c r="J40" s="31" t="s">
        <v>28</v>
      </c>
      <c r="K40" s="31" t="str">
        <f>_xlfn.XLOOKUP(Clean_Request_Template[[#This Row],[VendorID]],Vendors[VendorID],Vendors[VendorName],"Missing Vendor")</f>
        <v>Missing Vendor</v>
      </c>
      <c r="L40" s="1"/>
      <c r="M40" s="18">
        <v>12000</v>
      </c>
      <c r="N40" s="1" t="s">
        <v>31</v>
      </c>
      <c r="O40" s="3" t="s">
        <v>43</v>
      </c>
      <c r="P40" s="3" t="s">
        <v>44</v>
      </c>
      <c r="Q40" s="14">
        <v>46068</v>
      </c>
      <c r="R40" s="14">
        <v>46064</v>
      </c>
      <c r="S40" s="14">
        <v>46065</v>
      </c>
      <c r="T40" s="3">
        <v>8</v>
      </c>
      <c r="U40" s="3">
        <v>9</v>
      </c>
      <c r="V40" s="1" t="s">
        <v>45</v>
      </c>
      <c r="W40" s="3">
        <f>IF(Clean_Request_Template[[#This Row],[SLA_Met]]="Yes",1,0)</f>
        <v>0</v>
      </c>
    </row>
    <row r="41" spans="2:23" x14ac:dyDescent="0.3">
      <c r="B41" s="5" t="s">
        <v>135</v>
      </c>
      <c r="C41" s="14">
        <v>46064</v>
      </c>
      <c r="D41" s="31" t="s">
        <v>36</v>
      </c>
      <c r="E41" s="31" t="s">
        <v>390</v>
      </c>
      <c r="F41" s="31" t="s">
        <v>49</v>
      </c>
      <c r="G41" s="31" t="s">
        <v>50</v>
      </c>
      <c r="H41" s="1" t="s">
        <v>26</v>
      </c>
      <c r="I41" s="1" t="s">
        <v>136</v>
      </c>
      <c r="J41" s="31" t="s">
        <v>41</v>
      </c>
      <c r="K41" s="31" t="str">
        <f>_xlfn.XLOOKUP(Clean_Request_Template[[#This Row],[VendorID]],Vendors[VendorID],Vendors[VendorName],"Missing Vendor")</f>
        <v>Horizon Travel</v>
      </c>
      <c r="L41" s="1" t="s">
        <v>53</v>
      </c>
      <c r="M41" s="18">
        <v>450</v>
      </c>
      <c r="N41" s="1" t="s">
        <v>31</v>
      </c>
      <c r="O41" s="3" t="s">
        <v>55</v>
      </c>
      <c r="P41" s="3" t="s">
        <v>56</v>
      </c>
      <c r="Q41" s="14">
        <v>46069</v>
      </c>
      <c r="R41" s="14">
        <v>46065</v>
      </c>
      <c r="S41" s="14">
        <v>46066</v>
      </c>
      <c r="T41" s="3">
        <v>10</v>
      </c>
      <c r="U41" s="3">
        <v>7</v>
      </c>
      <c r="V41" s="1" t="s">
        <v>34</v>
      </c>
      <c r="W41" s="3">
        <f>IF(Clean_Request_Template[[#This Row],[SLA_Met]]="Yes",1,0)</f>
        <v>1</v>
      </c>
    </row>
    <row r="42" spans="2:23" x14ac:dyDescent="0.3">
      <c r="B42" s="5" t="s">
        <v>137</v>
      </c>
      <c r="C42" s="14">
        <v>46065</v>
      </c>
      <c r="D42" s="31" t="s">
        <v>47</v>
      </c>
      <c r="E42" s="31" t="s">
        <v>391</v>
      </c>
      <c r="F42" s="31" t="s">
        <v>60</v>
      </c>
      <c r="G42" s="31" t="s">
        <v>61</v>
      </c>
      <c r="H42" s="1" t="s">
        <v>26</v>
      </c>
      <c r="I42" s="1" t="s">
        <v>138</v>
      </c>
      <c r="J42" s="31" t="s">
        <v>52</v>
      </c>
      <c r="K42" s="31" t="str">
        <f>_xlfn.XLOOKUP(Clean_Request_Template[[#This Row],[VendorID]],Vendors[VendorID],Vendors[VendorName],"Missing Vendor")</f>
        <v>Delta Services</v>
      </c>
      <c r="L42" s="1" t="s">
        <v>63</v>
      </c>
      <c r="M42" s="18">
        <v>0</v>
      </c>
      <c r="N42" s="1" t="s">
        <v>31</v>
      </c>
      <c r="O42" s="3" t="s">
        <v>32</v>
      </c>
      <c r="P42" s="3" t="s">
        <v>33</v>
      </c>
      <c r="Q42" s="14">
        <v>46070</v>
      </c>
      <c r="R42" s="14">
        <v>46066</v>
      </c>
      <c r="S42" s="14">
        <v>46067</v>
      </c>
      <c r="T42" s="3">
        <v>3</v>
      </c>
      <c r="U42" s="3">
        <v>2</v>
      </c>
      <c r="V42" s="1" t="s">
        <v>34</v>
      </c>
      <c r="W42" s="3">
        <f>IF(Clean_Request_Template[[#This Row],[SLA_Met]]="Yes",1,0)</f>
        <v>1</v>
      </c>
    </row>
    <row r="43" spans="2:23" x14ac:dyDescent="0.3">
      <c r="B43" s="5" t="s">
        <v>139</v>
      </c>
      <c r="C43" s="14">
        <v>46066</v>
      </c>
      <c r="D43" s="31" t="s">
        <v>58</v>
      </c>
      <c r="E43" s="31" t="s">
        <v>392</v>
      </c>
      <c r="F43" s="31" t="s">
        <v>66</v>
      </c>
      <c r="G43" s="31" t="s">
        <v>67</v>
      </c>
      <c r="H43" s="1" t="s">
        <v>26</v>
      </c>
      <c r="I43" s="1" t="s">
        <v>140</v>
      </c>
      <c r="J43" s="31" t="s">
        <v>28</v>
      </c>
      <c r="K43" s="31" t="str">
        <f>_xlfn.XLOOKUP(Clean_Request_Template[[#This Row],[VendorID]],Vendors[VendorID],Vendors[VendorName],"Missing Vendor")</f>
        <v>Missing Vendor</v>
      </c>
      <c r="L43" s="1"/>
      <c r="M43" s="18">
        <v>8000</v>
      </c>
      <c r="N43" s="1" t="s">
        <v>31</v>
      </c>
      <c r="O43" s="3" t="s">
        <v>32</v>
      </c>
      <c r="P43" s="3" t="s">
        <v>70</v>
      </c>
      <c r="Q43" s="14">
        <v>46071</v>
      </c>
      <c r="R43" s="14">
        <v>46067</v>
      </c>
      <c r="S43" s="14">
        <v>46068</v>
      </c>
      <c r="T43" s="3">
        <v>5</v>
      </c>
      <c r="U43" s="3">
        <v>4</v>
      </c>
      <c r="V43" s="1" t="s">
        <v>34</v>
      </c>
      <c r="W43" s="3">
        <f>IF(Clean_Request_Template[[#This Row],[SLA_Met]]="Yes",1,0)</f>
        <v>1</v>
      </c>
    </row>
    <row r="44" spans="2:23" x14ac:dyDescent="0.3">
      <c r="B44" s="5" t="s">
        <v>141</v>
      </c>
      <c r="C44" s="14">
        <v>46067</v>
      </c>
      <c r="D44" s="31" t="s">
        <v>22</v>
      </c>
      <c r="E44" s="31" t="s">
        <v>23</v>
      </c>
      <c r="F44" s="31" t="s">
        <v>24</v>
      </c>
      <c r="G44" s="31" t="s">
        <v>25</v>
      </c>
      <c r="H44" s="1" t="s">
        <v>26</v>
      </c>
      <c r="I44" s="1" t="s">
        <v>142</v>
      </c>
      <c r="J44" s="31" t="s">
        <v>41</v>
      </c>
      <c r="K44" s="31" t="str">
        <f>_xlfn.XLOOKUP(Clean_Request_Template[[#This Row],[VendorID]],Vendors[VendorID],Vendors[VendorName],"Missing Vendor")</f>
        <v>Alpha Supplies</v>
      </c>
      <c r="L44" s="1" t="s">
        <v>29</v>
      </c>
      <c r="M44" s="18">
        <v>5000</v>
      </c>
      <c r="N44" s="1" t="s">
        <v>31</v>
      </c>
      <c r="O44" s="3" t="s">
        <v>32</v>
      </c>
      <c r="P44" s="3" t="s">
        <v>33</v>
      </c>
      <c r="Q44" s="14">
        <v>46072</v>
      </c>
      <c r="R44" s="14">
        <v>46068</v>
      </c>
      <c r="S44" s="14">
        <v>46069</v>
      </c>
      <c r="T44" s="3">
        <v>5</v>
      </c>
      <c r="U44" s="3">
        <v>3</v>
      </c>
      <c r="V44" s="1" t="s">
        <v>34</v>
      </c>
      <c r="W44" s="3">
        <f>IF(Clean_Request_Template[[#This Row],[SLA_Met]]="Yes",1,0)</f>
        <v>1</v>
      </c>
    </row>
    <row r="45" spans="2:23" x14ac:dyDescent="0.3">
      <c r="B45" s="5" t="s">
        <v>143</v>
      </c>
      <c r="C45" s="14">
        <v>46068</v>
      </c>
      <c r="D45" s="31" t="s">
        <v>36</v>
      </c>
      <c r="E45" s="31" t="s">
        <v>37</v>
      </c>
      <c r="F45" s="31" t="s">
        <v>38</v>
      </c>
      <c r="G45" s="31" t="s">
        <v>39</v>
      </c>
      <c r="H45" s="1" t="s">
        <v>26</v>
      </c>
      <c r="I45" s="1" t="s">
        <v>144</v>
      </c>
      <c r="J45" s="31" t="s">
        <v>52</v>
      </c>
      <c r="K45" s="31" t="str">
        <f>_xlfn.XLOOKUP(Clean_Request_Template[[#This Row],[VendorID]],Vendors[VendorID],Vendors[VendorName],"Missing Vendor")</f>
        <v>Missing Vendor</v>
      </c>
      <c r="L45" s="1"/>
      <c r="M45" s="18">
        <v>12000</v>
      </c>
      <c r="N45" s="1" t="s">
        <v>31</v>
      </c>
      <c r="O45" s="3" t="s">
        <v>43</v>
      </c>
      <c r="P45" s="3" t="s">
        <v>44</v>
      </c>
      <c r="Q45" s="14">
        <v>46073</v>
      </c>
      <c r="R45" s="14">
        <v>46069</v>
      </c>
      <c r="S45" s="14">
        <v>46070</v>
      </c>
      <c r="T45" s="3">
        <v>8</v>
      </c>
      <c r="U45" s="3">
        <v>9</v>
      </c>
      <c r="V45" s="1" t="s">
        <v>45</v>
      </c>
      <c r="W45" s="3">
        <f>IF(Clean_Request_Template[[#This Row],[SLA_Met]]="Yes",1,0)</f>
        <v>0</v>
      </c>
    </row>
    <row r="46" spans="2:23" x14ac:dyDescent="0.3">
      <c r="B46" s="5" t="s">
        <v>145</v>
      </c>
      <c r="C46" s="14">
        <v>46069</v>
      </c>
      <c r="D46" s="31" t="s">
        <v>47</v>
      </c>
      <c r="E46" s="31" t="s">
        <v>390</v>
      </c>
      <c r="F46" s="31" t="s">
        <v>49</v>
      </c>
      <c r="G46" s="31" t="s">
        <v>50</v>
      </c>
      <c r="H46" s="1" t="s">
        <v>26</v>
      </c>
      <c r="I46" s="1" t="s">
        <v>146</v>
      </c>
      <c r="J46" s="31" t="s">
        <v>28</v>
      </c>
      <c r="K46" s="31" t="str">
        <f>_xlfn.XLOOKUP(Clean_Request_Template[[#This Row],[VendorID]],Vendors[VendorID],Vendors[VendorName],"Missing Vendor")</f>
        <v>Horizon Travel</v>
      </c>
      <c r="L46" s="1" t="s">
        <v>53</v>
      </c>
      <c r="M46" s="18">
        <v>450</v>
      </c>
      <c r="N46" s="1" t="s">
        <v>31</v>
      </c>
      <c r="O46" s="3" t="s">
        <v>55</v>
      </c>
      <c r="P46" s="3" t="s">
        <v>56</v>
      </c>
      <c r="Q46" s="14">
        <v>46074</v>
      </c>
      <c r="R46" s="14">
        <v>46070</v>
      </c>
      <c r="S46" s="14">
        <v>46071</v>
      </c>
      <c r="T46" s="3">
        <v>10</v>
      </c>
      <c r="U46" s="3">
        <v>7</v>
      </c>
      <c r="V46" s="1" t="s">
        <v>34</v>
      </c>
      <c r="W46" s="3">
        <f>IF(Clean_Request_Template[[#This Row],[SLA_Met]]="Yes",1,0)</f>
        <v>1</v>
      </c>
    </row>
    <row r="47" spans="2:23" x14ac:dyDescent="0.3">
      <c r="B47" s="5" t="s">
        <v>147</v>
      </c>
      <c r="C47" s="14">
        <v>46070</v>
      </c>
      <c r="D47" s="31" t="s">
        <v>58</v>
      </c>
      <c r="E47" s="31" t="s">
        <v>391</v>
      </c>
      <c r="F47" s="31" t="s">
        <v>60</v>
      </c>
      <c r="G47" s="31" t="s">
        <v>61</v>
      </c>
      <c r="H47" s="1" t="s">
        <v>26</v>
      </c>
      <c r="I47" s="1" t="s">
        <v>148</v>
      </c>
      <c r="J47" s="31" t="s">
        <v>41</v>
      </c>
      <c r="K47" s="31" t="str">
        <f>_xlfn.XLOOKUP(Clean_Request_Template[[#This Row],[VendorID]],Vendors[VendorID],Vendors[VendorName],"Missing Vendor")</f>
        <v>Delta Services</v>
      </c>
      <c r="L47" s="1" t="s">
        <v>63</v>
      </c>
      <c r="M47" s="18">
        <v>0</v>
      </c>
      <c r="N47" s="1" t="s">
        <v>31</v>
      </c>
      <c r="O47" s="3" t="s">
        <v>32</v>
      </c>
      <c r="P47" s="3" t="s">
        <v>33</v>
      </c>
      <c r="Q47" s="14">
        <v>46075</v>
      </c>
      <c r="R47" s="14">
        <v>46071</v>
      </c>
      <c r="S47" s="14">
        <v>46072</v>
      </c>
      <c r="T47" s="3">
        <v>3</v>
      </c>
      <c r="U47" s="3">
        <v>2</v>
      </c>
      <c r="V47" s="1" t="s">
        <v>34</v>
      </c>
      <c r="W47" s="3">
        <f>IF(Clean_Request_Template[[#This Row],[SLA_Met]]="Yes",1,0)</f>
        <v>1</v>
      </c>
    </row>
    <row r="48" spans="2:23" x14ac:dyDescent="0.3">
      <c r="B48" s="5" t="s">
        <v>149</v>
      </c>
      <c r="C48" s="14">
        <v>46071</v>
      </c>
      <c r="D48" s="31" t="s">
        <v>22</v>
      </c>
      <c r="E48" s="31" t="s">
        <v>392</v>
      </c>
      <c r="F48" s="31" t="s">
        <v>66</v>
      </c>
      <c r="G48" s="31" t="s">
        <v>67</v>
      </c>
      <c r="H48" s="1" t="s">
        <v>26</v>
      </c>
      <c r="I48" s="1" t="s">
        <v>150</v>
      </c>
      <c r="J48" s="31" t="s">
        <v>52</v>
      </c>
      <c r="K48" s="31" t="str">
        <f>_xlfn.XLOOKUP(Clean_Request_Template[[#This Row],[VendorID]],Vendors[VendorID],Vendors[VendorName],"Missing Vendor")</f>
        <v>Missing Vendor</v>
      </c>
      <c r="L48" s="1"/>
      <c r="M48" s="18">
        <v>8000</v>
      </c>
      <c r="N48" s="1" t="s">
        <v>31</v>
      </c>
      <c r="O48" s="3" t="s">
        <v>32</v>
      </c>
      <c r="P48" s="3" t="s">
        <v>70</v>
      </c>
      <c r="Q48" s="14">
        <v>46076</v>
      </c>
      <c r="R48" s="14">
        <v>46072</v>
      </c>
      <c r="S48" s="14">
        <v>46073</v>
      </c>
      <c r="T48" s="3">
        <v>5</v>
      </c>
      <c r="U48" s="3">
        <v>4</v>
      </c>
      <c r="V48" s="1" t="s">
        <v>34</v>
      </c>
      <c r="W48" s="3">
        <f>IF(Clean_Request_Template[[#This Row],[SLA_Met]]="Yes",1,0)</f>
        <v>1</v>
      </c>
    </row>
    <row r="49" spans="2:23" x14ac:dyDescent="0.3">
      <c r="B49" s="5" t="s">
        <v>151</v>
      </c>
      <c r="C49" s="14">
        <v>46072</v>
      </c>
      <c r="D49" s="31" t="s">
        <v>36</v>
      </c>
      <c r="E49" s="31" t="s">
        <v>23</v>
      </c>
      <c r="F49" s="31" t="s">
        <v>24</v>
      </c>
      <c r="G49" s="31" t="s">
        <v>25</v>
      </c>
      <c r="H49" s="1" t="s">
        <v>26</v>
      </c>
      <c r="I49" s="1" t="s">
        <v>152</v>
      </c>
      <c r="J49" s="31" t="s">
        <v>28</v>
      </c>
      <c r="K49" s="31" t="str">
        <f>_xlfn.XLOOKUP(Clean_Request_Template[[#This Row],[VendorID]],Vendors[VendorID],Vendors[VendorName],"Missing Vendor")</f>
        <v>Alpha Supplies</v>
      </c>
      <c r="L49" s="1" t="s">
        <v>29</v>
      </c>
      <c r="M49" s="18">
        <v>5000</v>
      </c>
      <c r="N49" s="1" t="s">
        <v>31</v>
      </c>
      <c r="O49" s="3" t="s">
        <v>32</v>
      </c>
      <c r="P49" s="3" t="s">
        <v>33</v>
      </c>
      <c r="Q49" s="14">
        <v>46077</v>
      </c>
      <c r="R49" s="14">
        <v>46073</v>
      </c>
      <c r="S49" s="14">
        <v>46074</v>
      </c>
      <c r="T49" s="3">
        <v>5</v>
      </c>
      <c r="U49" s="3">
        <v>3</v>
      </c>
      <c r="V49" s="1" t="s">
        <v>34</v>
      </c>
      <c r="W49" s="3">
        <f>IF(Clean_Request_Template[[#This Row],[SLA_Met]]="Yes",1,0)</f>
        <v>1</v>
      </c>
    </row>
    <row r="50" spans="2:23" x14ac:dyDescent="0.3">
      <c r="B50" s="5" t="s">
        <v>153</v>
      </c>
      <c r="C50" s="14">
        <v>46073</v>
      </c>
      <c r="D50" s="31" t="s">
        <v>47</v>
      </c>
      <c r="E50" s="31" t="s">
        <v>37</v>
      </c>
      <c r="F50" s="31" t="s">
        <v>38</v>
      </c>
      <c r="G50" s="31" t="s">
        <v>39</v>
      </c>
      <c r="H50" s="1" t="s">
        <v>26</v>
      </c>
      <c r="I50" s="1" t="s">
        <v>154</v>
      </c>
      <c r="J50" s="31" t="s">
        <v>41</v>
      </c>
      <c r="K50" s="31" t="str">
        <f>_xlfn.XLOOKUP(Clean_Request_Template[[#This Row],[VendorID]],Vendors[VendorID],Vendors[VendorName],"Missing Vendor")</f>
        <v>Missing Vendor</v>
      </c>
      <c r="L50" s="1"/>
      <c r="M50" s="18">
        <v>12000</v>
      </c>
      <c r="N50" s="1" t="s">
        <v>31</v>
      </c>
      <c r="O50" s="3" t="s">
        <v>43</v>
      </c>
      <c r="P50" s="3" t="s">
        <v>44</v>
      </c>
      <c r="Q50" s="14">
        <v>46078</v>
      </c>
      <c r="R50" s="14">
        <v>46074</v>
      </c>
      <c r="S50" s="14">
        <v>46075</v>
      </c>
      <c r="T50" s="3">
        <v>8</v>
      </c>
      <c r="U50" s="3">
        <v>9</v>
      </c>
      <c r="V50" s="1" t="s">
        <v>45</v>
      </c>
      <c r="W50" s="3">
        <f>IF(Clean_Request_Template[[#This Row],[SLA_Met]]="Yes",1,0)</f>
        <v>0</v>
      </c>
    </row>
    <row r="51" spans="2:23" x14ac:dyDescent="0.3">
      <c r="B51" s="5" t="s">
        <v>155</v>
      </c>
      <c r="C51" s="14">
        <v>46074</v>
      </c>
      <c r="D51" s="31" t="s">
        <v>58</v>
      </c>
      <c r="E51" s="31" t="s">
        <v>390</v>
      </c>
      <c r="F51" s="31" t="s">
        <v>49</v>
      </c>
      <c r="G51" s="31" t="s">
        <v>50</v>
      </c>
      <c r="H51" s="1" t="s">
        <v>26</v>
      </c>
      <c r="I51" s="1" t="s">
        <v>156</v>
      </c>
      <c r="J51" s="31" t="s">
        <v>52</v>
      </c>
      <c r="K51" s="31" t="str">
        <f>_xlfn.XLOOKUP(Clean_Request_Template[[#This Row],[VendorID]],Vendors[VendorID],Vendors[VendorName],"Missing Vendor")</f>
        <v>Horizon Travel</v>
      </c>
      <c r="L51" s="1" t="s">
        <v>53</v>
      </c>
      <c r="M51" s="18">
        <v>450</v>
      </c>
      <c r="N51" s="1" t="s">
        <v>31</v>
      </c>
      <c r="O51" s="3" t="s">
        <v>55</v>
      </c>
      <c r="P51" s="3" t="s">
        <v>56</v>
      </c>
      <c r="Q51" s="14">
        <v>46079</v>
      </c>
      <c r="R51" s="14">
        <v>46075</v>
      </c>
      <c r="S51" s="14">
        <v>46076</v>
      </c>
      <c r="T51" s="3">
        <v>10</v>
      </c>
      <c r="U51" s="3">
        <v>7</v>
      </c>
      <c r="V51" s="1" t="s">
        <v>34</v>
      </c>
      <c r="W51" s="3">
        <f>IF(Clean_Request_Template[[#This Row],[SLA_Met]]="Yes",1,0)</f>
        <v>1</v>
      </c>
    </row>
    <row r="52" spans="2:23" x14ac:dyDescent="0.3">
      <c r="B52" s="5" t="s">
        <v>157</v>
      </c>
      <c r="C52" s="14">
        <v>46075</v>
      </c>
      <c r="D52" s="31" t="s">
        <v>22</v>
      </c>
      <c r="E52" s="31" t="s">
        <v>391</v>
      </c>
      <c r="F52" s="31" t="s">
        <v>60</v>
      </c>
      <c r="G52" s="31" t="s">
        <v>61</v>
      </c>
      <c r="H52" s="1" t="s">
        <v>26</v>
      </c>
      <c r="I52" s="1" t="s">
        <v>158</v>
      </c>
      <c r="J52" s="31" t="s">
        <v>28</v>
      </c>
      <c r="K52" s="31" t="str">
        <f>_xlfn.XLOOKUP(Clean_Request_Template[[#This Row],[VendorID]],Vendors[VendorID],Vendors[VendorName],"Missing Vendor")</f>
        <v>Delta Services</v>
      </c>
      <c r="L52" s="1" t="s">
        <v>63</v>
      </c>
      <c r="M52" s="18">
        <v>0</v>
      </c>
      <c r="N52" s="1" t="s">
        <v>31</v>
      </c>
      <c r="O52" s="3" t="s">
        <v>32</v>
      </c>
      <c r="P52" s="3" t="s">
        <v>33</v>
      </c>
      <c r="Q52" s="14">
        <v>46080</v>
      </c>
      <c r="R52" s="14">
        <v>46076</v>
      </c>
      <c r="S52" s="14">
        <v>46077</v>
      </c>
      <c r="T52" s="3">
        <v>3</v>
      </c>
      <c r="U52" s="3">
        <v>2</v>
      </c>
      <c r="V52" s="1" t="s">
        <v>34</v>
      </c>
      <c r="W52" s="3">
        <f>IF(Clean_Request_Template[[#This Row],[SLA_Met]]="Yes",1,0)</f>
        <v>1</v>
      </c>
    </row>
    <row r="53" spans="2:23" x14ac:dyDescent="0.3">
      <c r="B53" s="5" t="s">
        <v>159</v>
      </c>
      <c r="C53" s="14">
        <v>46076</v>
      </c>
      <c r="D53" s="31" t="s">
        <v>36</v>
      </c>
      <c r="E53" s="31" t="s">
        <v>392</v>
      </c>
      <c r="F53" s="31" t="s">
        <v>66</v>
      </c>
      <c r="G53" s="31" t="s">
        <v>67</v>
      </c>
      <c r="H53" s="1" t="s">
        <v>26</v>
      </c>
      <c r="I53" s="1" t="s">
        <v>160</v>
      </c>
      <c r="J53" s="31" t="s">
        <v>41</v>
      </c>
      <c r="K53" s="31" t="str">
        <f>_xlfn.XLOOKUP(Clean_Request_Template[[#This Row],[VendorID]],Vendors[VendorID],Vendors[VendorName],"Missing Vendor")</f>
        <v>Missing Vendor</v>
      </c>
      <c r="L53" s="1"/>
      <c r="M53" s="18">
        <v>8000</v>
      </c>
      <c r="N53" s="1" t="s">
        <v>31</v>
      </c>
      <c r="O53" s="3" t="s">
        <v>32</v>
      </c>
      <c r="P53" s="3" t="s">
        <v>70</v>
      </c>
      <c r="Q53" s="14">
        <v>46081</v>
      </c>
      <c r="R53" s="14">
        <v>46077</v>
      </c>
      <c r="S53" s="14">
        <v>46078</v>
      </c>
      <c r="T53" s="3">
        <v>5</v>
      </c>
      <c r="U53" s="3">
        <v>4</v>
      </c>
      <c r="V53" s="1" t="s">
        <v>34</v>
      </c>
      <c r="W53" s="3">
        <f>IF(Clean_Request_Template[[#This Row],[SLA_Met]]="Yes",1,0)</f>
        <v>1</v>
      </c>
    </row>
    <row r="54" spans="2:23" x14ac:dyDescent="0.3">
      <c r="B54" s="5" t="s">
        <v>161</v>
      </c>
      <c r="C54" s="14">
        <v>46077</v>
      </c>
      <c r="D54" s="31" t="s">
        <v>47</v>
      </c>
      <c r="E54" s="31" t="s">
        <v>23</v>
      </c>
      <c r="F54" s="31" t="s">
        <v>24</v>
      </c>
      <c r="G54" s="31" t="s">
        <v>25</v>
      </c>
      <c r="H54" s="1" t="s">
        <v>26</v>
      </c>
      <c r="I54" s="1" t="s">
        <v>162</v>
      </c>
      <c r="J54" s="31" t="s">
        <v>52</v>
      </c>
      <c r="K54" s="31" t="str">
        <f>_xlfn.XLOOKUP(Clean_Request_Template[[#This Row],[VendorID]],Vendors[VendorID],Vendors[VendorName],"Missing Vendor")</f>
        <v>Alpha Supplies</v>
      </c>
      <c r="L54" s="1" t="s">
        <v>29</v>
      </c>
      <c r="M54" s="18">
        <v>5000</v>
      </c>
      <c r="N54" s="1" t="s">
        <v>31</v>
      </c>
      <c r="O54" s="3" t="s">
        <v>32</v>
      </c>
      <c r="P54" s="3" t="s">
        <v>33</v>
      </c>
      <c r="Q54" s="14">
        <v>46082</v>
      </c>
      <c r="R54" s="14">
        <v>46078</v>
      </c>
      <c r="S54" s="14">
        <v>46079</v>
      </c>
      <c r="T54" s="3">
        <v>5</v>
      </c>
      <c r="U54" s="3">
        <v>3</v>
      </c>
      <c r="V54" s="1" t="s">
        <v>34</v>
      </c>
      <c r="W54" s="3">
        <f>IF(Clean_Request_Template[[#This Row],[SLA_Met]]="Yes",1,0)</f>
        <v>1</v>
      </c>
    </row>
    <row r="55" spans="2:23" x14ac:dyDescent="0.3">
      <c r="B55" s="5" t="s">
        <v>163</v>
      </c>
      <c r="C55" s="14">
        <v>46078</v>
      </c>
      <c r="D55" s="31" t="s">
        <v>58</v>
      </c>
      <c r="E55" s="31" t="s">
        <v>37</v>
      </c>
      <c r="F55" s="31" t="s">
        <v>38</v>
      </c>
      <c r="G55" s="31" t="s">
        <v>39</v>
      </c>
      <c r="H55" s="1" t="s">
        <v>26</v>
      </c>
      <c r="I55" s="1" t="s">
        <v>164</v>
      </c>
      <c r="J55" s="31" t="s">
        <v>28</v>
      </c>
      <c r="K55" s="31" t="str">
        <f>_xlfn.XLOOKUP(Clean_Request_Template[[#This Row],[VendorID]],Vendors[VendorID],Vendors[VendorName],"Missing Vendor")</f>
        <v>Missing Vendor</v>
      </c>
      <c r="L55" s="1"/>
      <c r="M55" s="18">
        <v>12000</v>
      </c>
      <c r="N55" s="1" t="s">
        <v>31</v>
      </c>
      <c r="O55" s="3" t="s">
        <v>43</v>
      </c>
      <c r="P55" s="3" t="s">
        <v>44</v>
      </c>
      <c r="Q55" s="14">
        <v>46083</v>
      </c>
      <c r="R55" s="14">
        <v>46079</v>
      </c>
      <c r="S55" s="14">
        <v>46080</v>
      </c>
      <c r="T55" s="3">
        <v>8</v>
      </c>
      <c r="U55" s="3">
        <v>9</v>
      </c>
      <c r="V55" s="1" t="s">
        <v>45</v>
      </c>
      <c r="W55" s="3">
        <f>IF(Clean_Request_Template[[#This Row],[SLA_Met]]="Yes",1,0)</f>
        <v>0</v>
      </c>
    </row>
    <row r="56" spans="2:23" x14ac:dyDescent="0.3">
      <c r="B56" s="5" t="s">
        <v>165</v>
      </c>
      <c r="C56" s="14">
        <v>46079</v>
      </c>
      <c r="D56" s="31" t="s">
        <v>22</v>
      </c>
      <c r="E56" s="31" t="s">
        <v>390</v>
      </c>
      <c r="F56" s="31" t="s">
        <v>49</v>
      </c>
      <c r="G56" s="31" t="s">
        <v>50</v>
      </c>
      <c r="H56" s="1" t="s">
        <v>26</v>
      </c>
      <c r="I56" s="1" t="s">
        <v>166</v>
      </c>
      <c r="J56" s="31" t="s">
        <v>41</v>
      </c>
      <c r="K56" s="31" t="str">
        <f>_xlfn.XLOOKUP(Clean_Request_Template[[#This Row],[VendorID]],Vendors[VendorID],Vendors[VendorName],"Missing Vendor")</f>
        <v>Horizon Travel</v>
      </c>
      <c r="L56" s="1" t="s">
        <v>53</v>
      </c>
      <c r="M56" s="18">
        <v>450</v>
      </c>
      <c r="N56" s="1" t="s">
        <v>31</v>
      </c>
      <c r="O56" s="3" t="s">
        <v>55</v>
      </c>
      <c r="P56" s="3" t="s">
        <v>56</v>
      </c>
      <c r="Q56" s="14">
        <v>46084</v>
      </c>
      <c r="R56" s="14">
        <v>46080</v>
      </c>
      <c r="S56" s="14">
        <v>46081</v>
      </c>
      <c r="T56" s="3">
        <v>10</v>
      </c>
      <c r="U56" s="3">
        <v>7</v>
      </c>
      <c r="V56" s="1" t="s">
        <v>34</v>
      </c>
      <c r="W56" s="3">
        <f>IF(Clean_Request_Template[[#This Row],[SLA_Met]]="Yes",1,0)</f>
        <v>1</v>
      </c>
    </row>
    <row r="57" spans="2:23" x14ac:dyDescent="0.3">
      <c r="B57" s="5" t="s">
        <v>167</v>
      </c>
      <c r="C57" s="14">
        <v>46080</v>
      </c>
      <c r="D57" s="31" t="s">
        <v>36</v>
      </c>
      <c r="E57" s="31" t="s">
        <v>391</v>
      </c>
      <c r="F57" s="31" t="s">
        <v>60</v>
      </c>
      <c r="G57" s="31" t="s">
        <v>61</v>
      </c>
      <c r="H57" s="1" t="s">
        <v>26</v>
      </c>
      <c r="I57" s="1" t="s">
        <v>168</v>
      </c>
      <c r="J57" s="31" t="s">
        <v>52</v>
      </c>
      <c r="K57" s="31" t="str">
        <f>_xlfn.XLOOKUP(Clean_Request_Template[[#This Row],[VendorID]],Vendors[VendorID],Vendors[VendorName],"Missing Vendor")</f>
        <v>Delta Services</v>
      </c>
      <c r="L57" s="1" t="s">
        <v>63</v>
      </c>
      <c r="M57" s="18">
        <v>0</v>
      </c>
      <c r="N57" s="1" t="s">
        <v>31</v>
      </c>
      <c r="O57" s="3" t="s">
        <v>32</v>
      </c>
      <c r="P57" s="3" t="s">
        <v>33</v>
      </c>
      <c r="Q57" s="14">
        <v>46085</v>
      </c>
      <c r="R57" s="14">
        <v>46081</v>
      </c>
      <c r="S57" s="14">
        <v>46082</v>
      </c>
      <c r="T57" s="3">
        <v>3</v>
      </c>
      <c r="U57" s="3">
        <v>2</v>
      </c>
      <c r="V57" s="1" t="s">
        <v>34</v>
      </c>
      <c r="W57" s="3">
        <f>IF(Clean_Request_Template[[#This Row],[SLA_Met]]="Yes",1,0)</f>
        <v>1</v>
      </c>
    </row>
    <row r="58" spans="2:23" x14ac:dyDescent="0.3">
      <c r="B58" s="5" t="s">
        <v>169</v>
      </c>
      <c r="C58" s="14">
        <v>46081</v>
      </c>
      <c r="D58" s="31" t="s">
        <v>47</v>
      </c>
      <c r="E58" s="31" t="s">
        <v>392</v>
      </c>
      <c r="F58" s="31" t="s">
        <v>66</v>
      </c>
      <c r="G58" s="31" t="s">
        <v>67</v>
      </c>
      <c r="H58" s="1" t="s">
        <v>26</v>
      </c>
      <c r="I58" s="1" t="s">
        <v>170</v>
      </c>
      <c r="J58" s="31" t="s">
        <v>28</v>
      </c>
      <c r="K58" s="31" t="str">
        <f>_xlfn.XLOOKUP(Clean_Request_Template[[#This Row],[VendorID]],Vendors[VendorID],Vendors[VendorName],"Missing Vendor")</f>
        <v>Missing Vendor</v>
      </c>
      <c r="L58" s="1"/>
      <c r="M58" s="18">
        <v>8000</v>
      </c>
      <c r="N58" s="1" t="s">
        <v>31</v>
      </c>
      <c r="O58" s="3" t="s">
        <v>32</v>
      </c>
      <c r="P58" s="3" t="s">
        <v>70</v>
      </c>
      <c r="Q58" s="14">
        <v>46086</v>
      </c>
      <c r="R58" s="14">
        <v>46082</v>
      </c>
      <c r="S58" s="14">
        <v>46083</v>
      </c>
      <c r="T58" s="3">
        <v>5</v>
      </c>
      <c r="U58" s="3">
        <v>4</v>
      </c>
      <c r="V58" s="1" t="s">
        <v>34</v>
      </c>
      <c r="W58" s="3">
        <f>IF(Clean_Request_Template[[#This Row],[SLA_Met]]="Yes",1,0)</f>
        <v>1</v>
      </c>
    </row>
    <row r="59" spans="2:23" x14ac:dyDescent="0.3">
      <c r="B59" s="5" t="s">
        <v>171</v>
      </c>
      <c r="C59" s="14">
        <v>46082</v>
      </c>
      <c r="D59" s="31" t="s">
        <v>58</v>
      </c>
      <c r="E59" s="31" t="s">
        <v>23</v>
      </c>
      <c r="F59" s="31" t="s">
        <v>24</v>
      </c>
      <c r="G59" s="31" t="s">
        <v>25</v>
      </c>
      <c r="H59" s="1" t="s">
        <v>26</v>
      </c>
      <c r="I59" s="1" t="s">
        <v>172</v>
      </c>
      <c r="J59" s="31" t="s">
        <v>41</v>
      </c>
      <c r="K59" s="31" t="str">
        <f>_xlfn.XLOOKUP(Clean_Request_Template[[#This Row],[VendorID]],Vendors[VendorID],Vendors[VendorName],"Missing Vendor")</f>
        <v>Alpha Supplies</v>
      </c>
      <c r="L59" s="1" t="s">
        <v>29</v>
      </c>
      <c r="M59" s="18">
        <v>5000</v>
      </c>
      <c r="N59" s="1" t="s">
        <v>31</v>
      </c>
      <c r="O59" s="3" t="s">
        <v>32</v>
      </c>
      <c r="P59" s="3" t="s">
        <v>33</v>
      </c>
      <c r="Q59" s="14">
        <v>46087</v>
      </c>
      <c r="R59" s="14">
        <v>46083</v>
      </c>
      <c r="S59" s="14">
        <v>46084</v>
      </c>
      <c r="T59" s="3">
        <v>5</v>
      </c>
      <c r="U59" s="3">
        <v>3</v>
      </c>
      <c r="V59" s="1" t="s">
        <v>34</v>
      </c>
      <c r="W59" s="3">
        <f>IF(Clean_Request_Template[[#This Row],[SLA_Met]]="Yes",1,0)</f>
        <v>1</v>
      </c>
    </row>
    <row r="60" spans="2:23" x14ac:dyDescent="0.3">
      <c r="B60" s="5" t="s">
        <v>173</v>
      </c>
      <c r="C60" s="14">
        <v>46083</v>
      </c>
      <c r="D60" s="31" t="s">
        <v>22</v>
      </c>
      <c r="E60" s="31" t="s">
        <v>37</v>
      </c>
      <c r="F60" s="31" t="s">
        <v>38</v>
      </c>
      <c r="G60" s="31" t="s">
        <v>39</v>
      </c>
      <c r="H60" s="1" t="s">
        <v>26</v>
      </c>
      <c r="I60" s="1" t="s">
        <v>174</v>
      </c>
      <c r="J60" s="31" t="s">
        <v>52</v>
      </c>
      <c r="K60" s="31" t="str">
        <f>_xlfn.XLOOKUP(Clean_Request_Template[[#This Row],[VendorID]],Vendors[VendorID],Vendors[VendorName],"Missing Vendor")</f>
        <v>Missing Vendor</v>
      </c>
      <c r="L60" s="1"/>
      <c r="M60" s="18">
        <v>12000</v>
      </c>
      <c r="N60" s="1" t="s">
        <v>31</v>
      </c>
      <c r="O60" s="3" t="s">
        <v>43</v>
      </c>
      <c r="P60" s="3" t="s">
        <v>44</v>
      </c>
      <c r="Q60" s="14">
        <v>46088</v>
      </c>
      <c r="R60" s="14">
        <v>46084</v>
      </c>
      <c r="S60" s="14">
        <v>46085</v>
      </c>
      <c r="T60" s="3">
        <v>8</v>
      </c>
      <c r="U60" s="3">
        <v>9</v>
      </c>
      <c r="V60" s="1" t="s">
        <v>45</v>
      </c>
      <c r="W60" s="3">
        <f>IF(Clean_Request_Template[[#This Row],[SLA_Met]]="Yes",1,0)</f>
        <v>0</v>
      </c>
    </row>
    <row r="61" spans="2:23" x14ac:dyDescent="0.3">
      <c r="B61" s="5" t="s">
        <v>175</v>
      </c>
      <c r="C61" s="14">
        <v>46084</v>
      </c>
      <c r="D61" s="31" t="s">
        <v>36</v>
      </c>
      <c r="E61" s="31" t="s">
        <v>390</v>
      </c>
      <c r="F61" s="31" t="s">
        <v>49</v>
      </c>
      <c r="G61" s="31" t="s">
        <v>50</v>
      </c>
      <c r="H61" s="1" t="s">
        <v>26</v>
      </c>
      <c r="I61" s="1" t="s">
        <v>176</v>
      </c>
      <c r="J61" s="31" t="s">
        <v>28</v>
      </c>
      <c r="K61" s="31" t="str">
        <f>_xlfn.XLOOKUP(Clean_Request_Template[[#This Row],[VendorID]],Vendors[VendorID],Vendors[VendorName],"Missing Vendor")</f>
        <v>Horizon Travel</v>
      </c>
      <c r="L61" s="1" t="s">
        <v>53</v>
      </c>
      <c r="M61" s="18">
        <v>450</v>
      </c>
      <c r="N61" s="1" t="s">
        <v>31</v>
      </c>
      <c r="O61" s="3" t="s">
        <v>55</v>
      </c>
      <c r="P61" s="3" t="s">
        <v>56</v>
      </c>
      <c r="Q61" s="14">
        <v>46089</v>
      </c>
      <c r="R61" s="14">
        <v>46085</v>
      </c>
      <c r="S61" s="14">
        <v>46086</v>
      </c>
      <c r="T61" s="3">
        <v>10</v>
      </c>
      <c r="U61" s="3">
        <v>7</v>
      </c>
      <c r="V61" s="1" t="s">
        <v>34</v>
      </c>
      <c r="W61" s="3">
        <f>IF(Clean_Request_Template[[#This Row],[SLA_Met]]="Yes",1,0)</f>
        <v>1</v>
      </c>
    </row>
    <row r="62" spans="2:23" x14ac:dyDescent="0.3">
      <c r="B62" s="5" t="s">
        <v>177</v>
      </c>
      <c r="C62" s="14">
        <v>46085</v>
      </c>
      <c r="D62" s="31" t="s">
        <v>47</v>
      </c>
      <c r="E62" s="31" t="s">
        <v>391</v>
      </c>
      <c r="F62" s="31" t="s">
        <v>60</v>
      </c>
      <c r="G62" s="31" t="s">
        <v>61</v>
      </c>
      <c r="H62" s="1" t="s">
        <v>26</v>
      </c>
      <c r="I62" s="1" t="s">
        <v>178</v>
      </c>
      <c r="J62" s="31" t="s">
        <v>41</v>
      </c>
      <c r="K62" s="31" t="str">
        <f>_xlfn.XLOOKUP(Clean_Request_Template[[#This Row],[VendorID]],Vendors[VendorID],Vendors[VendorName],"Missing Vendor")</f>
        <v>Delta Services</v>
      </c>
      <c r="L62" s="1" t="s">
        <v>63</v>
      </c>
      <c r="M62" s="18">
        <v>0</v>
      </c>
      <c r="N62" s="1" t="s">
        <v>31</v>
      </c>
      <c r="O62" s="3" t="s">
        <v>32</v>
      </c>
      <c r="P62" s="3" t="s">
        <v>33</v>
      </c>
      <c r="Q62" s="14">
        <v>46090</v>
      </c>
      <c r="R62" s="14">
        <v>46086</v>
      </c>
      <c r="S62" s="14">
        <v>46087</v>
      </c>
      <c r="T62" s="3">
        <v>3</v>
      </c>
      <c r="U62" s="3">
        <v>2</v>
      </c>
      <c r="V62" s="1" t="s">
        <v>34</v>
      </c>
      <c r="W62" s="3">
        <f>IF(Clean_Request_Template[[#This Row],[SLA_Met]]="Yes",1,0)</f>
        <v>1</v>
      </c>
    </row>
    <row r="63" spans="2:23" x14ac:dyDescent="0.3">
      <c r="B63" s="5" t="s">
        <v>179</v>
      </c>
      <c r="C63" s="14">
        <v>46086</v>
      </c>
      <c r="D63" s="31" t="s">
        <v>58</v>
      </c>
      <c r="E63" s="31" t="s">
        <v>392</v>
      </c>
      <c r="F63" s="31" t="s">
        <v>66</v>
      </c>
      <c r="G63" s="31" t="s">
        <v>67</v>
      </c>
      <c r="H63" s="1" t="s">
        <v>26</v>
      </c>
      <c r="I63" s="1" t="s">
        <v>180</v>
      </c>
      <c r="J63" s="31" t="s">
        <v>52</v>
      </c>
      <c r="K63" s="31" t="str">
        <f>_xlfn.XLOOKUP(Clean_Request_Template[[#This Row],[VendorID]],Vendors[VendorID],Vendors[VendorName],"Missing Vendor")</f>
        <v>Missing Vendor</v>
      </c>
      <c r="L63" s="1"/>
      <c r="M63" s="18">
        <v>8000</v>
      </c>
      <c r="N63" s="1" t="s">
        <v>31</v>
      </c>
      <c r="O63" s="3" t="s">
        <v>32</v>
      </c>
      <c r="P63" s="3" t="s">
        <v>70</v>
      </c>
      <c r="Q63" s="14">
        <v>46091</v>
      </c>
      <c r="R63" s="14">
        <v>46087</v>
      </c>
      <c r="S63" s="14">
        <v>46088</v>
      </c>
      <c r="T63" s="3">
        <v>5</v>
      </c>
      <c r="U63" s="3">
        <v>4</v>
      </c>
      <c r="V63" s="1" t="s">
        <v>34</v>
      </c>
      <c r="W63" s="3">
        <f>IF(Clean_Request_Template[[#This Row],[SLA_Met]]="Yes",1,0)</f>
        <v>1</v>
      </c>
    </row>
    <row r="64" spans="2:23" x14ac:dyDescent="0.3">
      <c r="B64" s="5" t="s">
        <v>181</v>
      </c>
      <c r="C64" s="14">
        <v>46087</v>
      </c>
      <c r="D64" s="31" t="s">
        <v>22</v>
      </c>
      <c r="E64" s="31" t="s">
        <v>23</v>
      </c>
      <c r="F64" s="31" t="s">
        <v>24</v>
      </c>
      <c r="G64" s="31" t="s">
        <v>25</v>
      </c>
      <c r="H64" s="1" t="s">
        <v>26</v>
      </c>
      <c r="I64" s="1" t="s">
        <v>182</v>
      </c>
      <c r="J64" s="31" t="s">
        <v>28</v>
      </c>
      <c r="K64" s="31" t="str">
        <f>_xlfn.XLOOKUP(Clean_Request_Template[[#This Row],[VendorID]],Vendors[VendorID],Vendors[VendorName],"Missing Vendor")</f>
        <v>Alpha Supplies</v>
      </c>
      <c r="L64" s="1" t="s">
        <v>29</v>
      </c>
      <c r="M64" s="18">
        <v>5000</v>
      </c>
      <c r="N64" s="1" t="s">
        <v>31</v>
      </c>
      <c r="O64" s="3" t="s">
        <v>32</v>
      </c>
      <c r="P64" s="3" t="s">
        <v>33</v>
      </c>
      <c r="Q64" s="14">
        <v>46092</v>
      </c>
      <c r="R64" s="14">
        <v>46088</v>
      </c>
      <c r="S64" s="14">
        <v>46089</v>
      </c>
      <c r="T64" s="3">
        <v>5</v>
      </c>
      <c r="U64" s="3">
        <v>3</v>
      </c>
      <c r="V64" s="1" t="s">
        <v>34</v>
      </c>
      <c r="W64" s="3">
        <f>IF(Clean_Request_Template[[#This Row],[SLA_Met]]="Yes",1,0)</f>
        <v>1</v>
      </c>
    </row>
    <row r="65" spans="2:23" x14ac:dyDescent="0.3">
      <c r="B65" s="5" t="s">
        <v>183</v>
      </c>
      <c r="C65" s="14">
        <v>46088</v>
      </c>
      <c r="D65" s="31" t="s">
        <v>36</v>
      </c>
      <c r="E65" s="31" t="s">
        <v>37</v>
      </c>
      <c r="F65" s="31" t="s">
        <v>38</v>
      </c>
      <c r="G65" s="31" t="s">
        <v>39</v>
      </c>
      <c r="H65" s="1" t="s">
        <v>26</v>
      </c>
      <c r="I65" s="1" t="s">
        <v>184</v>
      </c>
      <c r="J65" s="31" t="s">
        <v>41</v>
      </c>
      <c r="K65" s="31" t="str">
        <f>_xlfn.XLOOKUP(Clean_Request_Template[[#This Row],[VendorID]],Vendors[VendorID],Vendors[VendorName],"Missing Vendor")</f>
        <v>Missing Vendor</v>
      </c>
      <c r="L65" s="1"/>
      <c r="M65" s="18">
        <v>12000</v>
      </c>
      <c r="N65" s="1" t="s">
        <v>31</v>
      </c>
      <c r="O65" s="3" t="s">
        <v>43</v>
      </c>
      <c r="P65" s="3" t="s">
        <v>44</v>
      </c>
      <c r="Q65" s="14">
        <v>46093</v>
      </c>
      <c r="R65" s="14">
        <v>46089</v>
      </c>
      <c r="S65" s="14">
        <v>46090</v>
      </c>
      <c r="T65" s="3">
        <v>8</v>
      </c>
      <c r="U65" s="3">
        <v>9</v>
      </c>
      <c r="V65" s="1" t="s">
        <v>45</v>
      </c>
      <c r="W65" s="3">
        <f>IF(Clean_Request_Template[[#This Row],[SLA_Met]]="Yes",1,0)</f>
        <v>0</v>
      </c>
    </row>
    <row r="66" spans="2:23" x14ac:dyDescent="0.3">
      <c r="B66" s="5" t="s">
        <v>185</v>
      </c>
      <c r="C66" s="14">
        <v>46089</v>
      </c>
      <c r="D66" s="31" t="s">
        <v>47</v>
      </c>
      <c r="E66" s="31" t="s">
        <v>390</v>
      </c>
      <c r="F66" s="31" t="s">
        <v>49</v>
      </c>
      <c r="G66" s="31" t="s">
        <v>50</v>
      </c>
      <c r="H66" s="1" t="s">
        <v>26</v>
      </c>
      <c r="I66" s="1" t="s">
        <v>186</v>
      </c>
      <c r="J66" s="31" t="s">
        <v>52</v>
      </c>
      <c r="K66" s="31" t="str">
        <f>_xlfn.XLOOKUP(Clean_Request_Template[[#This Row],[VendorID]],Vendors[VendorID],Vendors[VendorName],"Missing Vendor")</f>
        <v>Horizon Travel</v>
      </c>
      <c r="L66" s="1" t="s">
        <v>53</v>
      </c>
      <c r="M66" s="18">
        <v>450</v>
      </c>
      <c r="N66" s="1" t="s">
        <v>31</v>
      </c>
      <c r="O66" s="3" t="s">
        <v>55</v>
      </c>
      <c r="P66" s="3" t="s">
        <v>56</v>
      </c>
      <c r="Q66" s="14">
        <v>46094</v>
      </c>
      <c r="R66" s="14">
        <v>46090</v>
      </c>
      <c r="S66" s="14">
        <v>46091</v>
      </c>
      <c r="T66" s="3">
        <v>10</v>
      </c>
      <c r="U66" s="3">
        <v>7</v>
      </c>
      <c r="V66" s="1" t="s">
        <v>34</v>
      </c>
      <c r="W66" s="3">
        <f>IF(Clean_Request_Template[[#This Row],[SLA_Met]]="Yes",1,0)</f>
        <v>1</v>
      </c>
    </row>
    <row r="67" spans="2:23" x14ac:dyDescent="0.3">
      <c r="B67" s="5" t="s">
        <v>187</v>
      </c>
      <c r="C67" s="14">
        <v>46090</v>
      </c>
      <c r="D67" s="31" t="s">
        <v>58</v>
      </c>
      <c r="E67" s="31" t="s">
        <v>391</v>
      </c>
      <c r="F67" s="31" t="s">
        <v>60</v>
      </c>
      <c r="G67" s="31" t="s">
        <v>61</v>
      </c>
      <c r="H67" s="1" t="s">
        <v>26</v>
      </c>
      <c r="I67" s="1" t="s">
        <v>188</v>
      </c>
      <c r="J67" s="31" t="s">
        <v>28</v>
      </c>
      <c r="K67" s="31" t="str">
        <f>_xlfn.XLOOKUP(Clean_Request_Template[[#This Row],[VendorID]],Vendors[VendorID],Vendors[VendorName],"Missing Vendor")</f>
        <v>Delta Services</v>
      </c>
      <c r="L67" s="1" t="s">
        <v>63</v>
      </c>
      <c r="M67" s="18">
        <v>0</v>
      </c>
      <c r="N67" s="1" t="s">
        <v>31</v>
      </c>
      <c r="O67" s="3" t="s">
        <v>32</v>
      </c>
      <c r="P67" s="3" t="s">
        <v>33</v>
      </c>
      <c r="Q67" s="14">
        <v>46095</v>
      </c>
      <c r="R67" s="14">
        <v>46091</v>
      </c>
      <c r="S67" s="14">
        <v>46092</v>
      </c>
      <c r="T67" s="3">
        <v>3</v>
      </c>
      <c r="U67" s="3">
        <v>2</v>
      </c>
      <c r="V67" s="1" t="s">
        <v>34</v>
      </c>
      <c r="W67" s="3">
        <f>IF(Clean_Request_Template[[#This Row],[SLA_Met]]="Yes",1,0)</f>
        <v>1</v>
      </c>
    </row>
    <row r="68" spans="2:23" x14ac:dyDescent="0.3">
      <c r="B68" s="5" t="s">
        <v>189</v>
      </c>
      <c r="C68" s="14">
        <v>46091</v>
      </c>
      <c r="D68" s="31" t="s">
        <v>22</v>
      </c>
      <c r="E68" s="31" t="s">
        <v>392</v>
      </c>
      <c r="F68" s="31" t="s">
        <v>66</v>
      </c>
      <c r="G68" s="31" t="s">
        <v>67</v>
      </c>
      <c r="H68" s="1" t="s">
        <v>26</v>
      </c>
      <c r="I68" s="1" t="s">
        <v>190</v>
      </c>
      <c r="J68" s="31" t="s">
        <v>41</v>
      </c>
      <c r="K68" s="31" t="str">
        <f>_xlfn.XLOOKUP(Clean_Request_Template[[#This Row],[VendorID]],Vendors[VendorID],Vendors[VendorName],"Missing Vendor")</f>
        <v>Missing Vendor</v>
      </c>
      <c r="L68" s="1"/>
      <c r="M68" s="18">
        <v>8000</v>
      </c>
      <c r="N68" s="1" t="s">
        <v>31</v>
      </c>
      <c r="O68" s="3" t="s">
        <v>32</v>
      </c>
      <c r="P68" s="3" t="s">
        <v>70</v>
      </c>
      <c r="Q68" s="14">
        <v>46096</v>
      </c>
      <c r="R68" s="14">
        <v>46092</v>
      </c>
      <c r="S68" s="14">
        <v>46093</v>
      </c>
      <c r="T68" s="3">
        <v>5</v>
      </c>
      <c r="U68" s="3">
        <v>4</v>
      </c>
      <c r="V68" s="1" t="s">
        <v>34</v>
      </c>
      <c r="W68" s="3">
        <f>IF(Clean_Request_Template[[#This Row],[SLA_Met]]="Yes",1,0)</f>
        <v>1</v>
      </c>
    </row>
    <row r="69" spans="2:23" x14ac:dyDescent="0.3">
      <c r="B69" s="5" t="s">
        <v>191</v>
      </c>
      <c r="C69" s="14">
        <v>46092</v>
      </c>
      <c r="D69" s="31" t="s">
        <v>36</v>
      </c>
      <c r="E69" s="31" t="s">
        <v>23</v>
      </c>
      <c r="F69" s="31" t="s">
        <v>24</v>
      </c>
      <c r="G69" s="31" t="s">
        <v>25</v>
      </c>
      <c r="H69" s="1" t="s">
        <v>26</v>
      </c>
      <c r="I69" s="1" t="s">
        <v>192</v>
      </c>
      <c r="J69" s="31" t="s">
        <v>52</v>
      </c>
      <c r="K69" s="31" t="str">
        <f>_xlfn.XLOOKUP(Clean_Request_Template[[#This Row],[VendorID]],Vendors[VendorID],Vendors[VendorName],"Missing Vendor")</f>
        <v>Alpha Supplies</v>
      </c>
      <c r="L69" s="1" t="s">
        <v>29</v>
      </c>
      <c r="M69" s="18">
        <v>5000</v>
      </c>
      <c r="N69" s="1" t="s">
        <v>31</v>
      </c>
      <c r="O69" s="3" t="s">
        <v>32</v>
      </c>
      <c r="P69" s="3" t="s">
        <v>33</v>
      </c>
      <c r="Q69" s="14">
        <v>46097</v>
      </c>
      <c r="R69" s="14">
        <v>46093</v>
      </c>
      <c r="S69" s="14">
        <v>46094</v>
      </c>
      <c r="T69" s="3">
        <v>5</v>
      </c>
      <c r="U69" s="3">
        <v>3</v>
      </c>
      <c r="V69" s="1" t="s">
        <v>34</v>
      </c>
      <c r="W69" s="3">
        <f>IF(Clean_Request_Template[[#This Row],[SLA_Met]]="Yes",1,0)</f>
        <v>1</v>
      </c>
    </row>
    <row r="70" spans="2:23" x14ac:dyDescent="0.3">
      <c r="B70" s="5" t="s">
        <v>193</v>
      </c>
      <c r="C70" s="14">
        <v>46093</v>
      </c>
      <c r="D70" s="31" t="s">
        <v>47</v>
      </c>
      <c r="E70" s="31" t="s">
        <v>37</v>
      </c>
      <c r="F70" s="31" t="s">
        <v>38</v>
      </c>
      <c r="G70" s="31" t="s">
        <v>39</v>
      </c>
      <c r="H70" s="1" t="s">
        <v>26</v>
      </c>
      <c r="I70" s="1" t="s">
        <v>194</v>
      </c>
      <c r="J70" s="31" t="s">
        <v>28</v>
      </c>
      <c r="K70" s="31" t="str">
        <f>_xlfn.XLOOKUP(Clean_Request_Template[[#This Row],[VendorID]],Vendors[VendorID],Vendors[VendorName],"Missing Vendor")</f>
        <v>Missing Vendor</v>
      </c>
      <c r="L70" s="1"/>
      <c r="M70" s="18">
        <v>12000</v>
      </c>
      <c r="N70" s="1" t="s">
        <v>31</v>
      </c>
      <c r="O70" s="3" t="s">
        <v>43</v>
      </c>
      <c r="P70" s="3" t="s">
        <v>44</v>
      </c>
      <c r="Q70" s="14">
        <v>46098</v>
      </c>
      <c r="R70" s="14">
        <v>46094</v>
      </c>
      <c r="S70" s="14">
        <v>46095</v>
      </c>
      <c r="T70" s="3">
        <v>8</v>
      </c>
      <c r="U70" s="3">
        <v>9</v>
      </c>
      <c r="V70" s="1" t="s">
        <v>45</v>
      </c>
      <c r="W70" s="3">
        <f>IF(Clean_Request_Template[[#This Row],[SLA_Met]]="Yes",1,0)</f>
        <v>0</v>
      </c>
    </row>
    <row r="71" spans="2:23" x14ac:dyDescent="0.3">
      <c r="B71" s="5" t="s">
        <v>195</v>
      </c>
      <c r="C71" s="14">
        <v>46094</v>
      </c>
      <c r="D71" s="31" t="s">
        <v>58</v>
      </c>
      <c r="E71" s="31" t="s">
        <v>390</v>
      </c>
      <c r="F71" s="31" t="s">
        <v>49</v>
      </c>
      <c r="G71" s="31" t="s">
        <v>50</v>
      </c>
      <c r="H71" s="1" t="s">
        <v>26</v>
      </c>
      <c r="I71" s="1" t="s">
        <v>196</v>
      </c>
      <c r="J71" s="31" t="s">
        <v>41</v>
      </c>
      <c r="K71" s="31" t="str">
        <f>_xlfn.XLOOKUP(Clean_Request_Template[[#This Row],[VendorID]],Vendors[VendorID],Vendors[VendorName],"Missing Vendor")</f>
        <v>Horizon Travel</v>
      </c>
      <c r="L71" s="1" t="s">
        <v>53</v>
      </c>
      <c r="M71" s="18">
        <v>450</v>
      </c>
      <c r="N71" s="1" t="s">
        <v>31</v>
      </c>
      <c r="O71" s="3" t="s">
        <v>55</v>
      </c>
      <c r="P71" s="3" t="s">
        <v>56</v>
      </c>
      <c r="Q71" s="14">
        <v>46099</v>
      </c>
      <c r="R71" s="14">
        <v>46095</v>
      </c>
      <c r="S71" s="14">
        <v>46096</v>
      </c>
      <c r="T71" s="3">
        <v>10</v>
      </c>
      <c r="U71" s="3">
        <v>7</v>
      </c>
      <c r="V71" s="1" t="s">
        <v>34</v>
      </c>
      <c r="W71" s="3">
        <f>IF(Clean_Request_Template[[#This Row],[SLA_Met]]="Yes",1,0)</f>
        <v>1</v>
      </c>
    </row>
    <row r="72" spans="2:23" x14ac:dyDescent="0.3">
      <c r="B72" s="5" t="s">
        <v>197</v>
      </c>
      <c r="C72" s="14">
        <v>46095</v>
      </c>
      <c r="D72" s="31" t="s">
        <v>22</v>
      </c>
      <c r="E72" s="31" t="s">
        <v>391</v>
      </c>
      <c r="F72" s="31" t="s">
        <v>60</v>
      </c>
      <c r="G72" s="31" t="s">
        <v>61</v>
      </c>
      <c r="H72" s="1" t="s">
        <v>26</v>
      </c>
      <c r="I72" s="1" t="s">
        <v>198</v>
      </c>
      <c r="J72" s="31" t="s">
        <v>52</v>
      </c>
      <c r="K72" s="31" t="str">
        <f>_xlfn.XLOOKUP(Clean_Request_Template[[#This Row],[VendorID]],Vendors[VendorID],Vendors[VendorName],"Missing Vendor")</f>
        <v>Delta Services</v>
      </c>
      <c r="L72" s="1" t="s">
        <v>63</v>
      </c>
      <c r="M72" s="18">
        <v>0</v>
      </c>
      <c r="N72" s="1" t="s">
        <v>31</v>
      </c>
      <c r="O72" s="3" t="s">
        <v>32</v>
      </c>
      <c r="P72" s="3" t="s">
        <v>33</v>
      </c>
      <c r="Q72" s="14">
        <v>46100</v>
      </c>
      <c r="R72" s="14">
        <v>46096</v>
      </c>
      <c r="S72" s="14">
        <v>46097</v>
      </c>
      <c r="T72" s="3">
        <v>3</v>
      </c>
      <c r="U72" s="3">
        <v>2</v>
      </c>
      <c r="V72" s="1" t="s">
        <v>34</v>
      </c>
      <c r="W72" s="3">
        <f>IF(Clean_Request_Template[[#This Row],[SLA_Met]]="Yes",1,0)</f>
        <v>1</v>
      </c>
    </row>
    <row r="73" spans="2:23" x14ac:dyDescent="0.3">
      <c r="B73" s="5" t="s">
        <v>199</v>
      </c>
      <c r="C73" s="14">
        <v>46096</v>
      </c>
      <c r="D73" s="31" t="s">
        <v>36</v>
      </c>
      <c r="E73" s="31" t="s">
        <v>392</v>
      </c>
      <c r="F73" s="31" t="s">
        <v>66</v>
      </c>
      <c r="G73" s="31" t="s">
        <v>67</v>
      </c>
      <c r="H73" s="1" t="s">
        <v>26</v>
      </c>
      <c r="I73" s="1" t="s">
        <v>200</v>
      </c>
      <c r="J73" s="31" t="s">
        <v>28</v>
      </c>
      <c r="K73" s="31" t="str">
        <f>_xlfn.XLOOKUP(Clean_Request_Template[[#This Row],[VendorID]],Vendors[VendorID],Vendors[VendorName],"Missing Vendor")</f>
        <v>Missing Vendor</v>
      </c>
      <c r="L73" s="1"/>
      <c r="M73" s="18">
        <v>8000</v>
      </c>
      <c r="N73" s="1" t="s">
        <v>31</v>
      </c>
      <c r="O73" s="3" t="s">
        <v>32</v>
      </c>
      <c r="P73" s="3" t="s">
        <v>70</v>
      </c>
      <c r="Q73" s="14">
        <v>46101</v>
      </c>
      <c r="R73" s="14">
        <v>46097</v>
      </c>
      <c r="S73" s="14">
        <v>46098</v>
      </c>
      <c r="T73" s="3">
        <v>5</v>
      </c>
      <c r="U73" s="3">
        <v>4</v>
      </c>
      <c r="V73" s="1" t="s">
        <v>34</v>
      </c>
      <c r="W73" s="3">
        <f>IF(Clean_Request_Template[[#This Row],[SLA_Met]]="Yes",1,0)</f>
        <v>1</v>
      </c>
    </row>
    <row r="74" spans="2:23" x14ac:dyDescent="0.3">
      <c r="B74" s="5" t="s">
        <v>201</v>
      </c>
      <c r="C74" s="14">
        <v>46097</v>
      </c>
      <c r="D74" s="31" t="s">
        <v>47</v>
      </c>
      <c r="E74" s="31" t="s">
        <v>23</v>
      </c>
      <c r="F74" s="31" t="s">
        <v>24</v>
      </c>
      <c r="G74" s="31" t="s">
        <v>25</v>
      </c>
      <c r="H74" s="1" t="s">
        <v>26</v>
      </c>
      <c r="I74" s="1" t="s">
        <v>202</v>
      </c>
      <c r="J74" s="31" t="s">
        <v>41</v>
      </c>
      <c r="K74" s="31" t="str">
        <f>_xlfn.XLOOKUP(Clean_Request_Template[[#This Row],[VendorID]],Vendors[VendorID],Vendors[VendorName],"Missing Vendor")</f>
        <v>Alpha Supplies</v>
      </c>
      <c r="L74" s="1" t="s">
        <v>29</v>
      </c>
      <c r="M74" s="18">
        <v>5000</v>
      </c>
      <c r="N74" s="1" t="s">
        <v>31</v>
      </c>
      <c r="O74" s="3" t="s">
        <v>32</v>
      </c>
      <c r="P74" s="3" t="s">
        <v>33</v>
      </c>
      <c r="Q74" s="14">
        <v>46102</v>
      </c>
      <c r="R74" s="14">
        <v>46098</v>
      </c>
      <c r="S74" s="14">
        <v>46099</v>
      </c>
      <c r="T74" s="3">
        <v>5</v>
      </c>
      <c r="U74" s="3">
        <v>3</v>
      </c>
      <c r="V74" s="1" t="s">
        <v>34</v>
      </c>
      <c r="W74" s="3">
        <f>IF(Clean_Request_Template[[#This Row],[SLA_Met]]="Yes",1,0)</f>
        <v>1</v>
      </c>
    </row>
    <row r="75" spans="2:23" x14ac:dyDescent="0.3">
      <c r="B75" s="5" t="s">
        <v>203</v>
      </c>
      <c r="C75" s="14">
        <v>46098</v>
      </c>
      <c r="D75" s="31" t="s">
        <v>58</v>
      </c>
      <c r="E75" s="31" t="s">
        <v>37</v>
      </c>
      <c r="F75" s="31" t="s">
        <v>38</v>
      </c>
      <c r="G75" s="31" t="s">
        <v>39</v>
      </c>
      <c r="H75" s="1" t="s">
        <v>26</v>
      </c>
      <c r="I75" s="1" t="s">
        <v>204</v>
      </c>
      <c r="J75" s="31" t="s">
        <v>52</v>
      </c>
      <c r="K75" s="31" t="str">
        <f>_xlfn.XLOOKUP(Clean_Request_Template[[#This Row],[VendorID]],Vendors[VendorID],Vendors[VendorName],"Missing Vendor")</f>
        <v>Missing Vendor</v>
      </c>
      <c r="L75" s="1"/>
      <c r="M75" s="18">
        <v>12000</v>
      </c>
      <c r="N75" s="1" t="s">
        <v>31</v>
      </c>
      <c r="O75" s="3" t="s">
        <v>43</v>
      </c>
      <c r="P75" s="3" t="s">
        <v>44</v>
      </c>
      <c r="Q75" s="14">
        <v>46103</v>
      </c>
      <c r="R75" s="14">
        <v>46099</v>
      </c>
      <c r="S75" s="14">
        <v>46100</v>
      </c>
      <c r="T75" s="3">
        <v>8</v>
      </c>
      <c r="U75" s="3">
        <v>9</v>
      </c>
      <c r="V75" s="1" t="s">
        <v>45</v>
      </c>
      <c r="W75" s="3">
        <f>IF(Clean_Request_Template[[#This Row],[SLA_Met]]="Yes",1,0)</f>
        <v>0</v>
      </c>
    </row>
    <row r="76" spans="2:23" x14ac:dyDescent="0.3">
      <c r="B76" s="5" t="s">
        <v>205</v>
      </c>
      <c r="C76" s="14">
        <v>46099</v>
      </c>
      <c r="D76" s="31" t="s">
        <v>22</v>
      </c>
      <c r="E76" s="31" t="s">
        <v>390</v>
      </c>
      <c r="F76" s="31" t="s">
        <v>49</v>
      </c>
      <c r="G76" s="31" t="s">
        <v>50</v>
      </c>
      <c r="H76" s="1" t="s">
        <v>26</v>
      </c>
      <c r="I76" s="1" t="s">
        <v>206</v>
      </c>
      <c r="J76" s="31" t="s">
        <v>28</v>
      </c>
      <c r="K76" s="31" t="str">
        <f>_xlfn.XLOOKUP(Clean_Request_Template[[#This Row],[VendorID]],Vendors[VendorID],Vendors[VendorName],"Missing Vendor")</f>
        <v>Horizon Travel</v>
      </c>
      <c r="L76" s="1" t="s">
        <v>53</v>
      </c>
      <c r="M76" s="18">
        <v>450</v>
      </c>
      <c r="N76" s="1" t="s">
        <v>31</v>
      </c>
      <c r="O76" s="3" t="s">
        <v>55</v>
      </c>
      <c r="P76" s="3" t="s">
        <v>56</v>
      </c>
      <c r="Q76" s="14">
        <v>46104</v>
      </c>
      <c r="R76" s="14">
        <v>46100</v>
      </c>
      <c r="S76" s="14">
        <v>46101</v>
      </c>
      <c r="T76" s="3">
        <v>10</v>
      </c>
      <c r="U76" s="3">
        <v>7</v>
      </c>
      <c r="V76" s="1" t="s">
        <v>34</v>
      </c>
      <c r="W76" s="3">
        <f>IF(Clean_Request_Template[[#This Row],[SLA_Met]]="Yes",1,0)</f>
        <v>1</v>
      </c>
    </row>
    <row r="77" spans="2:23" x14ac:dyDescent="0.3">
      <c r="B77" s="5" t="s">
        <v>207</v>
      </c>
      <c r="C77" s="14">
        <v>46100</v>
      </c>
      <c r="D77" s="31" t="s">
        <v>36</v>
      </c>
      <c r="E77" s="31" t="s">
        <v>391</v>
      </c>
      <c r="F77" s="31" t="s">
        <v>60</v>
      </c>
      <c r="G77" s="31" t="s">
        <v>61</v>
      </c>
      <c r="H77" s="1" t="s">
        <v>26</v>
      </c>
      <c r="I77" s="1" t="s">
        <v>208</v>
      </c>
      <c r="J77" s="31" t="s">
        <v>41</v>
      </c>
      <c r="K77" s="31" t="str">
        <f>_xlfn.XLOOKUP(Clean_Request_Template[[#This Row],[VendorID]],Vendors[VendorID],Vendors[VendorName],"Missing Vendor")</f>
        <v>Delta Services</v>
      </c>
      <c r="L77" s="1" t="s">
        <v>63</v>
      </c>
      <c r="M77" s="18">
        <v>0</v>
      </c>
      <c r="N77" s="1" t="s">
        <v>31</v>
      </c>
      <c r="O77" s="3" t="s">
        <v>32</v>
      </c>
      <c r="P77" s="3" t="s">
        <v>33</v>
      </c>
      <c r="Q77" s="14">
        <v>46105</v>
      </c>
      <c r="R77" s="14">
        <v>46101</v>
      </c>
      <c r="S77" s="14">
        <v>46102</v>
      </c>
      <c r="T77" s="3">
        <v>3</v>
      </c>
      <c r="U77" s="3">
        <v>2</v>
      </c>
      <c r="V77" s="1" t="s">
        <v>34</v>
      </c>
      <c r="W77" s="3">
        <f>IF(Clean_Request_Template[[#This Row],[SLA_Met]]="Yes",1,0)</f>
        <v>1</v>
      </c>
    </row>
    <row r="78" spans="2:23" x14ac:dyDescent="0.3">
      <c r="B78" s="5" t="s">
        <v>209</v>
      </c>
      <c r="C78" s="14">
        <v>46101</v>
      </c>
      <c r="D78" s="31" t="s">
        <v>47</v>
      </c>
      <c r="E78" s="31" t="s">
        <v>392</v>
      </c>
      <c r="F78" s="31" t="s">
        <v>66</v>
      </c>
      <c r="G78" s="31" t="s">
        <v>67</v>
      </c>
      <c r="H78" s="1" t="s">
        <v>26</v>
      </c>
      <c r="I78" s="1" t="s">
        <v>210</v>
      </c>
      <c r="J78" s="31" t="s">
        <v>52</v>
      </c>
      <c r="K78" s="31" t="str">
        <f>_xlfn.XLOOKUP(Clean_Request_Template[[#This Row],[VendorID]],Vendors[VendorID],Vendors[VendorName],"Missing Vendor")</f>
        <v>Missing Vendor</v>
      </c>
      <c r="L78" s="1"/>
      <c r="M78" s="18">
        <v>8000</v>
      </c>
      <c r="N78" s="1" t="s">
        <v>31</v>
      </c>
      <c r="O78" s="3" t="s">
        <v>32</v>
      </c>
      <c r="P78" s="3" t="s">
        <v>70</v>
      </c>
      <c r="Q78" s="14">
        <v>46106</v>
      </c>
      <c r="R78" s="14">
        <v>46102</v>
      </c>
      <c r="S78" s="14">
        <v>46103</v>
      </c>
      <c r="T78" s="3">
        <v>5</v>
      </c>
      <c r="U78" s="3">
        <v>4</v>
      </c>
      <c r="V78" s="1" t="s">
        <v>34</v>
      </c>
      <c r="W78" s="3">
        <f>IF(Clean_Request_Template[[#This Row],[SLA_Met]]="Yes",1,0)</f>
        <v>1</v>
      </c>
    </row>
    <row r="79" spans="2:23" x14ac:dyDescent="0.3">
      <c r="B79" s="5" t="s">
        <v>211</v>
      </c>
      <c r="C79" s="14">
        <v>46102</v>
      </c>
      <c r="D79" s="31" t="s">
        <v>58</v>
      </c>
      <c r="E79" s="31" t="s">
        <v>23</v>
      </c>
      <c r="F79" s="31" t="s">
        <v>24</v>
      </c>
      <c r="G79" s="31" t="s">
        <v>25</v>
      </c>
      <c r="H79" s="1" t="s">
        <v>26</v>
      </c>
      <c r="I79" s="1" t="s">
        <v>212</v>
      </c>
      <c r="J79" s="31" t="s">
        <v>28</v>
      </c>
      <c r="K79" s="31" t="str">
        <f>_xlfn.XLOOKUP(Clean_Request_Template[[#This Row],[VendorID]],Vendors[VendorID],Vendors[VendorName],"Missing Vendor")</f>
        <v>Alpha Supplies</v>
      </c>
      <c r="L79" s="1" t="s">
        <v>29</v>
      </c>
      <c r="M79" s="18">
        <v>5000</v>
      </c>
      <c r="N79" s="1" t="s">
        <v>31</v>
      </c>
      <c r="O79" s="3" t="s">
        <v>32</v>
      </c>
      <c r="P79" s="3" t="s">
        <v>33</v>
      </c>
      <c r="Q79" s="14">
        <v>46107</v>
      </c>
      <c r="R79" s="14">
        <v>46103</v>
      </c>
      <c r="S79" s="14">
        <v>46104</v>
      </c>
      <c r="T79" s="3">
        <v>5</v>
      </c>
      <c r="U79" s="3">
        <v>3</v>
      </c>
      <c r="V79" s="1" t="s">
        <v>34</v>
      </c>
      <c r="W79" s="3">
        <f>IF(Clean_Request_Template[[#This Row],[SLA_Met]]="Yes",1,0)</f>
        <v>1</v>
      </c>
    </row>
    <row r="80" spans="2:23" x14ac:dyDescent="0.3">
      <c r="B80" s="5" t="s">
        <v>213</v>
      </c>
      <c r="C80" s="14">
        <v>46103</v>
      </c>
      <c r="D80" s="31" t="s">
        <v>22</v>
      </c>
      <c r="E80" s="31" t="s">
        <v>37</v>
      </c>
      <c r="F80" s="31" t="s">
        <v>38</v>
      </c>
      <c r="G80" s="31" t="s">
        <v>39</v>
      </c>
      <c r="H80" s="1" t="s">
        <v>26</v>
      </c>
      <c r="I80" s="1" t="s">
        <v>214</v>
      </c>
      <c r="J80" s="31" t="s">
        <v>41</v>
      </c>
      <c r="K80" s="31" t="str">
        <f>_xlfn.XLOOKUP(Clean_Request_Template[[#This Row],[VendorID]],Vendors[VendorID],Vendors[VendorName],"Missing Vendor")</f>
        <v>Missing Vendor</v>
      </c>
      <c r="L80" s="1"/>
      <c r="M80" s="18">
        <v>12000</v>
      </c>
      <c r="N80" s="1" t="s">
        <v>31</v>
      </c>
      <c r="O80" s="3" t="s">
        <v>43</v>
      </c>
      <c r="P80" s="3" t="s">
        <v>44</v>
      </c>
      <c r="Q80" s="14">
        <v>46108</v>
      </c>
      <c r="R80" s="14">
        <v>46104</v>
      </c>
      <c r="S80" s="14">
        <v>46105</v>
      </c>
      <c r="T80" s="3">
        <v>8</v>
      </c>
      <c r="U80" s="3">
        <v>9</v>
      </c>
      <c r="V80" s="1" t="s">
        <v>45</v>
      </c>
      <c r="W80" s="3">
        <f>IF(Clean_Request_Template[[#This Row],[SLA_Met]]="Yes",1,0)</f>
        <v>0</v>
      </c>
    </row>
    <row r="81" spans="2:23" x14ac:dyDescent="0.3">
      <c r="B81" s="5" t="s">
        <v>215</v>
      </c>
      <c r="C81" s="14">
        <v>46104</v>
      </c>
      <c r="D81" s="31" t="s">
        <v>36</v>
      </c>
      <c r="E81" s="31" t="s">
        <v>390</v>
      </c>
      <c r="F81" s="31" t="s">
        <v>49</v>
      </c>
      <c r="G81" s="31" t="s">
        <v>50</v>
      </c>
      <c r="H81" s="1" t="s">
        <v>26</v>
      </c>
      <c r="I81" s="1" t="s">
        <v>216</v>
      </c>
      <c r="J81" s="31" t="s">
        <v>52</v>
      </c>
      <c r="K81" s="31" t="str">
        <f>_xlfn.XLOOKUP(Clean_Request_Template[[#This Row],[VendorID]],Vendors[VendorID],Vendors[VendorName],"Missing Vendor")</f>
        <v>Horizon Travel</v>
      </c>
      <c r="L81" s="1" t="s">
        <v>53</v>
      </c>
      <c r="M81" s="18">
        <v>450</v>
      </c>
      <c r="N81" s="1" t="s">
        <v>31</v>
      </c>
      <c r="O81" s="3" t="s">
        <v>55</v>
      </c>
      <c r="P81" s="3" t="s">
        <v>56</v>
      </c>
      <c r="Q81" s="14">
        <v>46109</v>
      </c>
      <c r="R81" s="14">
        <v>46105</v>
      </c>
      <c r="S81" s="14">
        <v>46106</v>
      </c>
      <c r="T81" s="3">
        <v>10</v>
      </c>
      <c r="U81" s="3">
        <v>7</v>
      </c>
      <c r="V81" s="1" t="s">
        <v>34</v>
      </c>
      <c r="W81" s="3">
        <f>IF(Clean_Request_Template[[#This Row],[SLA_Met]]="Yes",1,0)</f>
        <v>1</v>
      </c>
    </row>
    <row r="82" spans="2:23" x14ac:dyDescent="0.3">
      <c r="B82" s="5" t="s">
        <v>217</v>
      </c>
      <c r="C82" s="14">
        <v>46105</v>
      </c>
      <c r="D82" s="31" t="s">
        <v>47</v>
      </c>
      <c r="E82" s="31" t="s">
        <v>391</v>
      </c>
      <c r="F82" s="31" t="s">
        <v>60</v>
      </c>
      <c r="G82" s="31" t="s">
        <v>61</v>
      </c>
      <c r="H82" s="1" t="s">
        <v>26</v>
      </c>
      <c r="I82" s="1" t="s">
        <v>218</v>
      </c>
      <c r="J82" s="31" t="s">
        <v>28</v>
      </c>
      <c r="K82" s="31" t="str">
        <f>_xlfn.XLOOKUP(Clean_Request_Template[[#This Row],[VendorID]],Vendors[VendorID],Vendors[VendorName],"Missing Vendor")</f>
        <v>Delta Services</v>
      </c>
      <c r="L82" s="1" t="s">
        <v>63</v>
      </c>
      <c r="M82" s="18">
        <v>0</v>
      </c>
      <c r="N82" s="1" t="s">
        <v>31</v>
      </c>
      <c r="O82" s="3" t="s">
        <v>32</v>
      </c>
      <c r="P82" s="3" t="s">
        <v>33</v>
      </c>
      <c r="Q82" s="14">
        <v>46110</v>
      </c>
      <c r="R82" s="14">
        <v>46106</v>
      </c>
      <c r="S82" s="14">
        <v>46107</v>
      </c>
      <c r="T82" s="3">
        <v>3</v>
      </c>
      <c r="U82" s="3">
        <v>2</v>
      </c>
      <c r="V82" s="1" t="s">
        <v>34</v>
      </c>
      <c r="W82" s="3">
        <f>IF(Clean_Request_Template[[#This Row],[SLA_Met]]="Yes",1,0)</f>
        <v>1</v>
      </c>
    </row>
    <row r="83" spans="2:23" x14ac:dyDescent="0.3">
      <c r="B83" s="5" t="s">
        <v>219</v>
      </c>
      <c r="C83" s="14">
        <v>46106</v>
      </c>
      <c r="D83" s="31" t="s">
        <v>58</v>
      </c>
      <c r="E83" s="31" t="s">
        <v>392</v>
      </c>
      <c r="F83" s="31" t="s">
        <v>66</v>
      </c>
      <c r="G83" s="31" t="s">
        <v>67</v>
      </c>
      <c r="H83" s="1" t="s">
        <v>26</v>
      </c>
      <c r="I83" s="1" t="s">
        <v>220</v>
      </c>
      <c r="J83" s="31" t="s">
        <v>41</v>
      </c>
      <c r="K83" s="31" t="str">
        <f>_xlfn.XLOOKUP(Clean_Request_Template[[#This Row],[VendorID]],Vendors[VendorID],Vendors[VendorName],"Missing Vendor")</f>
        <v>Missing Vendor</v>
      </c>
      <c r="L83" s="1"/>
      <c r="M83" s="18">
        <v>8000</v>
      </c>
      <c r="N83" s="1" t="s">
        <v>31</v>
      </c>
      <c r="O83" s="3" t="s">
        <v>32</v>
      </c>
      <c r="P83" s="3" t="s">
        <v>70</v>
      </c>
      <c r="Q83" s="14">
        <v>46111</v>
      </c>
      <c r="R83" s="14">
        <v>46107</v>
      </c>
      <c r="S83" s="14">
        <v>46108</v>
      </c>
      <c r="T83" s="3">
        <v>5</v>
      </c>
      <c r="U83" s="3">
        <v>4</v>
      </c>
      <c r="V83" s="1" t="s">
        <v>34</v>
      </c>
      <c r="W83" s="3">
        <f>IF(Clean_Request_Template[[#This Row],[SLA_Met]]="Yes",1,0)</f>
        <v>1</v>
      </c>
    </row>
    <row r="84" spans="2:23" x14ac:dyDescent="0.3">
      <c r="B84" s="5" t="s">
        <v>221</v>
      </c>
      <c r="C84" s="14">
        <v>46107</v>
      </c>
      <c r="D84" s="31" t="s">
        <v>22</v>
      </c>
      <c r="E84" s="31" t="s">
        <v>23</v>
      </c>
      <c r="F84" s="31" t="s">
        <v>24</v>
      </c>
      <c r="G84" s="31" t="s">
        <v>25</v>
      </c>
      <c r="H84" s="1" t="s">
        <v>26</v>
      </c>
      <c r="I84" s="1" t="s">
        <v>222</v>
      </c>
      <c r="J84" s="31" t="s">
        <v>52</v>
      </c>
      <c r="K84" s="31" t="str">
        <f>_xlfn.XLOOKUP(Clean_Request_Template[[#This Row],[VendorID]],Vendors[VendorID],Vendors[VendorName],"Missing Vendor")</f>
        <v>Alpha Supplies</v>
      </c>
      <c r="L84" s="1" t="s">
        <v>29</v>
      </c>
      <c r="M84" s="18">
        <v>5000</v>
      </c>
      <c r="N84" s="1" t="s">
        <v>31</v>
      </c>
      <c r="O84" s="3" t="s">
        <v>32</v>
      </c>
      <c r="P84" s="3" t="s">
        <v>33</v>
      </c>
      <c r="Q84" s="14">
        <v>46112</v>
      </c>
      <c r="R84" s="14">
        <v>46108</v>
      </c>
      <c r="S84" s="14">
        <v>46109</v>
      </c>
      <c r="T84" s="3">
        <v>5</v>
      </c>
      <c r="U84" s="3">
        <v>3</v>
      </c>
      <c r="V84" s="1" t="s">
        <v>34</v>
      </c>
      <c r="W84" s="3">
        <f>IF(Clean_Request_Template[[#This Row],[SLA_Met]]="Yes",1,0)</f>
        <v>1</v>
      </c>
    </row>
    <row r="85" spans="2:23" x14ac:dyDescent="0.3">
      <c r="B85" s="5" t="s">
        <v>223</v>
      </c>
      <c r="C85" s="14">
        <v>46108</v>
      </c>
      <c r="D85" s="31" t="s">
        <v>36</v>
      </c>
      <c r="E85" s="31" t="s">
        <v>37</v>
      </c>
      <c r="F85" s="31" t="s">
        <v>38</v>
      </c>
      <c r="G85" s="31" t="s">
        <v>39</v>
      </c>
      <c r="H85" s="1" t="s">
        <v>26</v>
      </c>
      <c r="I85" s="1" t="s">
        <v>224</v>
      </c>
      <c r="J85" s="31" t="s">
        <v>28</v>
      </c>
      <c r="K85" s="31" t="str">
        <f>_xlfn.XLOOKUP(Clean_Request_Template[[#This Row],[VendorID]],Vendors[VendorID],Vendors[VendorName],"Missing Vendor")</f>
        <v>Missing Vendor</v>
      </c>
      <c r="L85" s="1"/>
      <c r="M85" s="18">
        <v>12000</v>
      </c>
      <c r="N85" s="1" t="s">
        <v>31</v>
      </c>
      <c r="O85" s="3" t="s">
        <v>43</v>
      </c>
      <c r="P85" s="3" t="s">
        <v>44</v>
      </c>
      <c r="Q85" s="14">
        <v>46113</v>
      </c>
      <c r="R85" s="14">
        <v>46109</v>
      </c>
      <c r="S85" s="14">
        <v>46110</v>
      </c>
      <c r="T85" s="3">
        <v>8</v>
      </c>
      <c r="U85" s="3">
        <v>9</v>
      </c>
      <c r="V85" s="1" t="s">
        <v>45</v>
      </c>
      <c r="W85" s="3">
        <f>IF(Clean_Request_Template[[#This Row],[SLA_Met]]="Yes",1,0)</f>
        <v>0</v>
      </c>
    </row>
    <row r="86" spans="2:23" x14ac:dyDescent="0.3">
      <c r="B86" s="5" t="s">
        <v>225</v>
      </c>
      <c r="C86" s="14">
        <v>46109</v>
      </c>
      <c r="D86" s="31" t="s">
        <v>47</v>
      </c>
      <c r="E86" s="31" t="s">
        <v>390</v>
      </c>
      <c r="F86" s="31" t="s">
        <v>49</v>
      </c>
      <c r="G86" s="31" t="s">
        <v>50</v>
      </c>
      <c r="H86" s="1" t="s">
        <v>26</v>
      </c>
      <c r="I86" s="1" t="s">
        <v>226</v>
      </c>
      <c r="J86" s="31" t="s">
        <v>41</v>
      </c>
      <c r="K86" s="31" t="str">
        <f>_xlfn.XLOOKUP(Clean_Request_Template[[#This Row],[VendorID]],Vendors[VendorID],Vendors[VendorName],"Missing Vendor")</f>
        <v>Horizon Travel</v>
      </c>
      <c r="L86" s="1" t="s">
        <v>53</v>
      </c>
      <c r="M86" s="18">
        <v>450</v>
      </c>
      <c r="N86" s="1" t="s">
        <v>31</v>
      </c>
      <c r="O86" s="3" t="s">
        <v>55</v>
      </c>
      <c r="P86" s="3" t="s">
        <v>56</v>
      </c>
      <c r="Q86" s="14">
        <v>46114</v>
      </c>
      <c r="R86" s="14">
        <v>46110</v>
      </c>
      <c r="S86" s="14">
        <v>46111</v>
      </c>
      <c r="T86" s="3">
        <v>10</v>
      </c>
      <c r="U86" s="3">
        <v>7</v>
      </c>
      <c r="V86" s="1" t="s">
        <v>34</v>
      </c>
      <c r="W86" s="3">
        <f>IF(Clean_Request_Template[[#This Row],[SLA_Met]]="Yes",1,0)</f>
        <v>1</v>
      </c>
    </row>
    <row r="87" spans="2:23" x14ac:dyDescent="0.3">
      <c r="B87" s="5" t="s">
        <v>227</v>
      </c>
      <c r="C87" s="14">
        <v>46110</v>
      </c>
      <c r="D87" s="31" t="s">
        <v>58</v>
      </c>
      <c r="E87" s="31" t="s">
        <v>391</v>
      </c>
      <c r="F87" s="31" t="s">
        <v>60</v>
      </c>
      <c r="G87" s="31" t="s">
        <v>61</v>
      </c>
      <c r="H87" s="1" t="s">
        <v>26</v>
      </c>
      <c r="I87" s="1" t="s">
        <v>228</v>
      </c>
      <c r="J87" s="31" t="s">
        <v>52</v>
      </c>
      <c r="K87" s="31" t="str">
        <f>_xlfn.XLOOKUP(Clean_Request_Template[[#This Row],[VendorID]],Vendors[VendorID],Vendors[VendorName],"Missing Vendor")</f>
        <v>Delta Services</v>
      </c>
      <c r="L87" s="1" t="s">
        <v>63</v>
      </c>
      <c r="M87" s="18">
        <v>0</v>
      </c>
      <c r="N87" s="1" t="s">
        <v>31</v>
      </c>
      <c r="O87" s="3" t="s">
        <v>32</v>
      </c>
      <c r="P87" s="3" t="s">
        <v>33</v>
      </c>
      <c r="Q87" s="14">
        <v>46115</v>
      </c>
      <c r="R87" s="14">
        <v>46111</v>
      </c>
      <c r="S87" s="14">
        <v>46112</v>
      </c>
      <c r="T87" s="3">
        <v>3</v>
      </c>
      <c r="U87" s="3">
        <v>2</v>
      </c>
      <c r="V87" s="1" t="s">
        <v>34</v>
      </c>
      <c r="W87" s="3">
        <f>IF(Clean_Request_Template[[#This Row],[SLA_Met]]="Yes",1,0)</f>
        <v>1</v>
      </c>
    </row>
    <row r="88" spans="2:23" x14ac:dyDescent="0.3">
      <c r="B88" s="5" t="s">
        <v>229</v>
      </c>
      <c r="C88" s="14">
        <v>46111</v>
      </c>
      <c r="D88" s="31" t="s">
        <v>22</v>
      </c>
      <c r="E88" s="31" t="s">
        <v>392</v>
      </c>
      <c r="F88" s="31" t="s">
        <v>66</v>
      </c>
      <c r="G88" s="31" t="s">
        <v>67</v>
      </c>
      <c r="H88" s="1" t="s">
        <v>26</v>
      </c>
      <c r="I88" s="1" t="s">
        <v>230</v>
      </c>
      <c r="J88" s="31" t="s">
        <v>28</v>
      </c>
      <c r="K88" s="31" t="str">
        <f>_xlfn.XLOOKUP(Clean_Request_Template[[#This Row],[VendorID]],Vendors[VendorID],Vendors[VendorName],"Missing Vendor")</f>
        <v>Missing Vendor</v>
      </c>
      <c r="L88" s="1"/>
      <c r="M88" s="18">
        <v>8000</v>
      </c>
      <c r="N88" s="1" t="s">
        <v>31</v>
      </c>
      <c r="O88" s="3" t="s">
        <v>32</v>
      </c>
      <c r="P88" s="3" t="s">
        <v>70</v>
      </c>
      <c r="Q88" s="14">
        <v>46116</v>
      </c>
      <c r="R88" s="14">
        <v>46112</v>
      </c>
      <c r="S88" s="14">
        <v>46113</v>
      </c>
      <c r="T88" s="3">
        <v>5</v>
      </c>
      <c r="U88" s="3">
        <v>4</v>
      </c>
      <c r="V88" s="1" t="s">
        <v>34</v>
      </c>
      <c r="W88" s="3">
        <f>IF(Clean_Request_Template[[#This Row],[SLA_Met]]="Yes",1,0)</f>
        <v>1</v>
      </c>
    </row>
    <row r="89" spans="2:23" x14ac:dyDescent="0.3">
      <c r="B89" s="5" t="s">
        <v>231</v>
      </c>
      <c r="C89" s="14">
        <v>46112</v>
      </c>
      <c r="D89" s="31" t="s">
        <v>36</v>
      </c>
      <c r="E89" s="31" t="s">
        <v>23</v>
      </c>
      <c r="F89" s="31" t="s">
        <v>24</v>
      </c>
      <c r="G89" s="31" t="s">
        <v>25</v>
      </c>
      <c r="H89" s="1" t="s">
        <v>26</v>
      </c>
      <c r="I89" s="1" t="s">
        <v>232</v>
      </c>
      <c r="J89" s="31" t="s">
        <v>41</v>
      </c>
      <c r="K89" s="31" t="str">
        <f>_xlfn.XLOOKUP(Clean_Request_Template[[#This Row],[VendorID]],Vendors[VendorID],Vendors[VendorName],"Missing Vendor")</f>
        <v>Alpha Supplies</v>
      </c>
      <c r="L89" s="1" t="s">
        <v>29</v>
      </c>
      <c r="M89" s="18">
        <v>5000</v>
      </c>
      <c r="N89" s="1" t="s">
        <v>31</v>
      </c>
      <c r="O89" s="3" t="s">
        <v>32</v>
      </c>
      <c r="P89" s="3" t="s">
        <v>33</v>
      </c>
      <c r="Q89" s="14">
        <v>46117</v>
      </c>
      <c r="R89" s="14">
        <v>46113</v>
      </c>
      <c r="S89" s="14">
        <v>46114</v>
      </c>
      <c r="T89" s="3">
        <v>5</v>
      </c>
      <c r="U89" s="3">
        <v>3</v>
      </c>
      <c r="V89" s="1" t="s">
        <v>34</v>
      </c>
      <c r="W89" s="3">
        <f>IF(Clean_Request_Template[[#This Row],[SLA_Met]]="Yes",1,0)</f>
        <v>1</v>
      </c>
    </row>
    <row r="90" spans="2:23" x14ac:dyDescent="0.3">
      <c r="B90" s="5" t="s">
        <v>233</v>
      </c>
      <c r="C90" s="14">
        <v>46113</v>
      </c>
      <c r="D90" s="31" t="s">
        <v>47</v>
      </c>
      <c r="E90" s="31" t="s">
        <v>37</v>
      </c>
      <c r="F90" s="31" t="s">
        <v>38</v>
      </c>
      <c r="G90" s="31" t="s">
        <v>39</v>
      </c>
      <c r="H90" s="1" t="s">
        <v>26</v>
      </c>
      <c r="I90" s="1" t="s">
        <v>234</v>
      </c>
      <c r="J90" s="31" t="s">
        <v>52</v>
      </c>
      <c r="K90" s="31" t="str">
        <f>_xlfn.XLOOKUP(Clean_Request_Template[[#This Row],[VendorID]],Vendors[VendorID],Vendors[VendorName],"Missing Vendor")</f>
        <v>Missing Vendor</v>
      </c>
      <c r="L90" s="1"/>
      <c r="M90" s="18">
        <v>12000</v>
      </c>
      <c r="N90" s="1" t="s">
        <v>31</v>
      </c>
      <c r="O90" s="3" t="s">
        <v>43</v>
      </c>
      <c r="P90" s="3" t="s">
        <v>44</v>
      </c>
      <c r="Q90" s="14">
        <v>46118</v>
      </c>
      <c r="R90" s="14">
        <v>46114</v>
      </c>
      <c r="S90" s="14">
        <v>46115</v>
      </c>
      <c r="T90" s="3">
        <v>8</v>
      </c>
      <c r="U90" s="3">
        <v>9</v>
      </c>
      <c r="V90" s="1" t="s">
        <v>45</v>
      </c>
      <c r="W90" s="3">
        <f>IF(Clean_Request_Template[[#This Row],[SLA_Met]]="Yes",1,0)</f>
        <v>0</v>
      </c>
    </row>
    <row r="91" spans="2:23" x14ac:dyDescent="0.3">
      <c r="B91" s="5" t="s">
        <v>235</v>
      </c>
      <c r="C91" s="14">
        <v>46114</v>
      </c>
      <c r="D91" s="31" t="s">
        <v>58</v>
      </c>
      <c r="E91" s="31" t="s">
        <v>390</v>
      </c>
      <c r="F91" s="31" t="s">
        <v>49</v>
      </c>
      <c r="G91" s="31" t="s">
        <v>50</v>
      </c>
      <c r="H91" s="1" t="s">
        <v>26</v>
      </c>
      <c r="I91" s="1" t="s">
        <v>236</v>
      </c>
      <c r="J91" s="31" t="s">
        <v>28</v>
      </c>
      <c r="K91" s="31" t="str">
        <f>_xlfn.XLOOKUP(Clean_Request_Template[[#This Row],[VendorID]],Vendors[VendorID],Vendors[VendorName],"Missing Vendor")</f>
        <v>Horizon Travel</v>
      </c>
      <c r="L91" s="1" t="s">
        <v>53</v>
      </c>
      <c r="M91" s="18">
        <v>450</v>
      </c>
      <c r="N91" s="1" t="s">
        <v>31</v>
      </c>
      <c r="O91" s="3" t="s">
        <v>55</v>
      </c>
      <c r="P91" s="3" t="s">
        <v>56</v>
      </c>
      <c r="Q91" s="14">
        <v>46119</v>
      </c>
      <c r="R91" s="14">
        <v>46115</v>
      </c>
      <c r="S91" s="14">
        <v>46116</v>
      </c>
      <c r="T91" s="3">
        <v>10</v>
      </c>
      <c r="U91" s="3">
        <v>7</v>
      </c>
      <c r="V91" s="1" t="s">
        <v>34</v>
      </c>
      <c r="W91" s="3">
        <f>IF(Clean_Request_Template[[#This Row],[SLA_Met]]="Yes",1,0)</f>
        <v>1</v>
      </c>
    </row>
    <row r="92" spans="2:23" x14ac:dyDescent="0.3">
      <c r="B92" s="5" t="s">
        <v>237</v>
      </c>
      <c r="C92" s="14">
        <v>46115</v>
      </c>
      <c r="D92" s="31" t="s">
        <v>22</v>
      </c>
      <c r="E92" s="31" t="s">
        <v>391</v>
      </c>
      <c r="F92" s="31" t="s">
        <v>60</v>
      </c>
      <c r="G92" s="31" t="s">
        <v>61</v>
      </c>
      <c r="H92" s="1" t="s">
        <v>26</v>
      </c>
      <c r="I92" s="1" t="s">
        <v>238</v>
      </c>
      <c r="J92" s="31" t="s">
        <v>41</v>
      </c>
      <c r="K92" s="31" t="str">
        <f>_xlfn.XLOOKUP(Clean_Request_Template[[#This Row],[VendorID]],Vendors[VendorID],Vendors[VendorName],"Missing Vendor")</f>
        <v>Delta Services</v>
      </c>
      <c r="L92" s="1" t="s">
        <v>63</v>
      </c>
      <c r="M92" s="18">
        <v>0</v>
      </c>
      <c r="N92" s="1" t="s">
        <v>31</v>
      </c>
      <c r="O92" s="3" t="s">
        <v>32</v>
      </c>
      <c r="P92" s="3" t="s">
        <v>33</v>
      </c>
      <c r="Q92" s="14">
        <v>46120</v>
      </c>
      <c r="R92" s="14">
        <v>46116</v>
      </c>
      <c r="S92" s="14">
        <v>46117</v>
      </c>
      <c r="T92" s="3">
        <v>3</v>
      </c>
      <c r="U92" s="3">
        <v>2</v>
      </c>
      <c r="V92" s="1" t="s">
        <v>34</v>
      </c>
      <c r="W92" s="3">
        <f>IF(Clean_Request_Template[[#This Row],[SLA_Met]]="Yes",1,0)</f>
        <v>1</v>
      </c>
    </row>
    <row r="93" spans="2:23" x14ac:dyDescent="0.3">
      <c r="B93" s="5" t="s">
        <v>239</v>
      </c>
      <c r="C93" s="14">
        <v>46116</v>
      </c>
      <c r="D93" s="31" t="s">
        <v>36</v>
      </c>
      <c r="E93" s="31" t="s">
        <v>392</v>
      </c>
      <c r="F93" s="31" t="s">
        <v>66</v>
      </c>
      <c r="G93" s="31" t="s">
        <v>67</v>
      </c>
      <c r="H93" s="1" t="s">
        <v>26</v>
      </c>
      <c r="I93" s="1" t="s">
        <v>240</v>
      </c>
      <c r="J93" s="31" t="s">
        <v>52</v>
      </c>
      <c r="K93" s="31" t="str">
        <f>_xlfn.XLOOKUP(Clean_Request_Template[[#This Row],[VendorID]],Vendors[VendorID],Vendors[VendorName],"Missing Vendor")</f>
        <v>Missing Vendor</v>
      </c>
      <c r="L93" s="1"/>
      <c r="M93" s="18">
        <v>8000</v>
      </c>
      <c r="N93" s="1" t="s">
        <v>31</v>
      </c>
      <c r="O93" s="3" t="s">
        <v>32</v>
      </c>
      <c r="P93" s="3" t="s">
        <v>70</v>
      </c>
      <c r="Q93" s="14">
        <v>46121</v>
      </c>
      <c r="R93" s="14">
        <v>46117</v>
      </c>
      <c r="S93" s="14">
        <v>46118</v>
      </c>
      <c r="T93" s="3">
        <v>5</v>
      </c>
      <c r="U93" s="3">
        <v>4</v>
      </c>
      <c r="V93" s="1" t="s">
        <v>34</v>
      </c>
      <c r="W93" s="3">
        <f>IF(Clean_Request_Template[[#This Row],[SLA_Met]]="Yes",1,0)</f>
        <v>1</v>
      </c>
    </row>
    <row r="94" spans="2:23" x14ac:dyDescent="0.3">
      <c r="B94" s="5" t="s">
        <v>241</v>
      </c>
      <c r="C94" s="14">
        <v>46117</v>
      </c>
      <c r="D94" s="31" t="s">
        <v>47</v>
      </c>
      <c r="E94" s="31" t="s">
        <v>23</v>
      </c>
      <c r="F94" s="31" t="s">
        <v>24</v>
      </c>
      <c r="G94" s="31" t="s">
        <v>25</v>
      </c>
      <c r="H94" s="1" t="s">
        <v>26</v>
      </c>
      <c r="I94" s="1" t="s">
        <v>242</v>
      </c>
      <c r="J94" s="31" t="s">
        <v>28</v>
      </c>
      <c r="K94" s="31" t="str">
        <f>_xlfn.XLOOKUP(Clean_Request_Template[[#This Row],[VendorID]],Vendors[VendorID],Vendors[VendorName],"Missing Vendor")</f>
        <v>Alpha Supplies</v>
      </c>
      <c r="L94" s="1" t="s">
        <v>29</v>
      </c>
      <c r="M94" s="18">
        <v>5000</v>
      </c>
      <c r="N94" s="1" t="s">
        <v>31</v>
      </c>
      <c r="O94" s="3" t="s">
        <v>32</v>
      </c>
      <c r="P94" s="3" t="s">
        <v>33</v>
      </c>
      <c r="Q94" s="14">
        <v>46122</v>
      </c>
      <c r="R94" s="14">
        <v>46118</v>
      </c>
      <c r="S94" s="14">
        <v>46119</v>
      </c>
      <c r="T94" s="3">
        <v>5</v>
      </c>
      <c r="U94" s="3">
        <v>3</v>
      </c>
      <c r="V94" s="1" t="s">
        <v>34</v>
      </c>
      <c r="W94" s="3">
        <f>IF(Clean_Request_Template[[#This Row],[SLA_Met]]="Yes",1,0)</f>
        <v>1</v>
      </c>
    </row>
    <row r="95" spans="2:23" x14ac:dyDescent="0.3">
      <c r="B95" s="5" t="s">
        <v>243</v>
      </c>
      <c r="C95" s="14">
        <v>46118</v>
      </c>
      <c r="D95" s="31" t="s">
        <v>58</v>
      </c>
      <c r="E95" s="31" t="s">
        <v>37</v>
      </c>
      <c r="F95" s="31" t="s">
        <v>38</v>
      </c>
      <c r="G95" s="31" t="s">
        <v>39</v>
      </c>
      <c r="H95" s="1" t="s">
        <v>26</v>
      </c>
      <c r="I95" s="1" t="s">
        <v>244</v>
      </c>
      <c r="J95" s="31" t="s">
        <v>41</v>
      </c>
      <c r="K95" s="31" t="str">
        <f>_xlfn.XLOOKUP(Clean_Request_Template[[#This Row],[VendorID]],Vendors[VendorID],Vendors[VendorName],"Missing Vendor")</f>
        <v>Missing Vendor</v>
      </c>
      <c r="L95" s="1"/>
      <c r="M95" s="18">
        <v>12000</v>
      </c>
      <c r="N95" s="1" t="s">
        <v>31</v>
      </c>
      <c r="O95" s="3" t="s">
        <v>43</v>
      </c>
      <c r="P95" s="3" t="s">
        <v>44</v>
      </c>
      <c r="Q95" s="14">
        <v>46123</v>
      </c>
      <c r="R95" s="14">
        <v>46119</v>
      </c>
      <c r="S95" s="14">
        <v>46120</v>
      </c>
      <c r="T95" s="3">
        <v>8</v>
      </c>
      <c r="U95" s="3">
        <v>9</v>
      </c>
      <c r="V95" s="1" t="s">
        <v>45</v>
      </c>
      <c r="W95" s="3">
        <f>IF(Clean_Request_Template[[#This Row],[SLA_Met]]="Yes",1,0)</f>
        <v>0</v>
      </c>
    </row>
    <row r="96" spans="2:23" x14ac:dyDescent="0.3">
      <c r="B96" s="5" t="s">
        <v>245</v>
      </c>
      <c r="C96" s="14">
        <v>46119</v>
      </c>
      <c r="D96" s="31" t="s">
        <v>22</v>
      </c>
      <c r="E96" s="31" t="s">
        <v>390</v>
      </c>
      <c r="F96" s="31" t="s">
        <v>49</v>
      </c>
      <c r="G96" s="31" t="s">
        <v>50</v>
      </c>
      <c r="H96" s="1" t="s">
        <v>26</v>
      </c>
      <c r="I96" s="1" t="s">
        <v>246</v>
      </c>
      <c r="J96" s="31" t="s">
        <v>52</v>
      </c>
      <c r="K96" s="31" t="str">
        <f>_xlfn.XLOOKUP(Clean_Request_Template[[#This Row],[VendorID]],Vendors[VendorID],Vendors[VendorName],"Missing Vendor")</f>
        <v>Horizon Travel</v>
      </c>
      <c r="L96" s="1" t="s">
        <v>53</v>
      </c>
      <c r="M96" s="18">
        <v>450</v>
      </c>
      <c r="N96" s="1" t="s">
        <v>31</v>
      </c>
      <c r="O96" s="3" t="s">
        <v>55</v>
      </c>
      <c r="P96" s="3" t="s">
        <v>56</v>
      </c>
      <c r="Q96" s="14">
        <v>46124</v>
      </c>
      <c r="R96" s="14">
        <v>46120</v>
      </c>
      <c r="S96" s="14">
        <v>46121</v>
      </c>
      <c r="T96" s="3">
        <v>10</v>
      </c>
      <c r="U96" s="3">
        <v>7</v>
      </c>
      <c r="V96" s="1" t="s">
        <v>34</v>
      </c>
      <c r="W96" s="3">
        <f>IF(Clean_Request_Template[[#This Row],[SLA_Met]]="Yes",1,0)</f>
        <v>1</v>
      </c>
    </row>
    <row r="97" spans="2:23" x14ac:dyDescent="0.3">
      <c r="B97" s="5" t="s">
        <v>247</v>
      </c>
      <c r="C97" s="14">
        <v>46120</v>
      </c>
      <c r="D97" s="31" t="s">
        <v>36</v>
      </c>
      <c r="E97" s="31" t="s">
        <v>391</v>
      </c>
      <c r="F97" s="31" t="s">
        <v>60</v>
      </c>
      <c r="G97" s="31" t="s">
        <v>61</v>
      </c>
      <c r="H97" s="1" t="s">
        <v>26</v>
      </c>
      <c r="I97" s="1" t="s">
        <v>248</v>
      </c>
      <c r="J97" s="31" t="s">
        <v>28</v>
      </c>
      <c r="K97" s="31" t="str">
        <f>_xlfn.XLOOKUP(Clean_Request_Template[[#This Row],[VendorID]],Vendors[VendorID],Vendors[VendorName],"Missing Vendor")</f>
        <v>Delta Services</v>
      </c>
      <c r="L97" s="1" t="s">
        <v>63</v>
      </c>
      <c r="M97" s="18">
        <v>0</v>
      </c>
      <c r="N97" s="1" t="s">
        <v>31</v>
      </c>
      <c r="O97" s="3" t="s">
        <v>32</v>
      </c>
      <c r="P97" s="3" t="s">
        <v>33</v>
      </c>
      <c r="Q97" s="14">
        <v>46125</v>
      </c>
      <c r="R97" s="14">
        <v>46121</v>
      </c>
      <c r="S97" s="14">
        <v>46122</v>
      </c>
      <c r="T97" s="3">
        <v>3</v>
      </c>
      <c r="U97" s="3">
        <v>2</v>
      </c>
      <c r="V97" s="1" t="s">
        <v>34</v>
      </c>
      <c r="W97" s="3">
        <f>IF(Clean_Request_Template[[#This Row],[SLA_Met]]="Yes",1,0)</f>
        <v>1</v>
      </c>
    </row>
    <row r="98" spans="2:23" x14ac:dyDescent="0.3">
      <c r="B98" s="5" t="s">
        <v>249</v>
      </c>
      <c r="C98" s="14">
        <v>46121</v>
      </c>
      <c r="D98" s="31" t="s">
        <v>47</v>
      </c>
      <c r="E98" s="31" t="s">
        <v>392</v>
      </c>
      <c r="F98" s="31" t="s">
        <v>66</v>
      </c>
      <c r="G98" s="31" t="s">
        <v>67</v>
      </c>
      <c r="H98" s="1" t="s">
        <v>26</v>
      </c>
      <c r="I98" s="1" t="s">
        <v>250</v>
      </c>
      <c r="J98" s="31" t="s">
        <v>41</v>
      </c>
      <c r="K98" s="31" t="str">
        <f>_xlfn.XLOOKUP(Clean_Request_Template[[#This Row],[VendorID]],Vendors[VendorID],Vendors[VendorName],"Missing Vendor")</f>
        <v>Missing Vendor</v>
      </c>
      <c r="L98" s="1"/>
      <c r="M98" s="18">
        <v>8000</v>
      </c>
      <c r="N98" s="1" t="s">
        <v>31</v>
      </c>
      <c r="O98" s="3" t="s">
        <v>32</v>
      </c>
      <c r="P98" s="3" t="s">
        <v>70</v>
      </c>
      <c r="Q98" s="14">
        <v>46126</v>
      </c>
      <c r="R98" s="14">
        <v>46122</v>
      </c>
      <c r="S98" s="14">
        <v>46123</v>
      </c>
      <c r="T98" s="3">
        <v>5</v>
      </c>
      <c r="U98" s="3">
        <v>4</v>
      </c>
      <c r="V98" s="1" t="s">
        <v>34</v>
      </c>
      <c r="W98" s="3">
        <f>IF(Clean_Request_Template[[#This Row],[SLA_Met]]="Yes",1,0)</f>
        <v>1</v>
      </c>
    </row>
    <row r="99" spans="2:23" x14ac:dyDescent="0.3">
      <c r="B99" s="5" t="s">
        <v>251</v>
      </c>
      <c r="C99" s="14">
        <v>46122</v>
      </c>
      <c r="D99" s="31" t="s">
        <v>58</v>
      </c>
      <c r="E99" s="31" t="s">
        <v>23</v>
      </c>
      <c r="F99" s="31" t="s">
        <v>24</v>
      </c>
      <c r="G99" s="31" t="s">
        <v>25</v>
      </c>
      <c r="H99" s="1" t="s">
        <v>26</v>
      </c>
      <c r="I99" s="1" t="s">
        <v>252</v>
      </c>
      <c r="J99" s="31" t="s">
        <v>52</v>
      </c>
      <c r="K99" s="31" t="str">
        <f>_xlfn.XLOOKUP(Clean_Request_Template[[#This Row],[VendorID]],Vendors[VendorID],Vendors[VendorName],"Missing Vendor")</f>
        <v>Alpha Supplies</v>
      </c>
      <c r="L99" s="1" t="s">
        <v>29</v>
      </c>
      <c r="M99" s="18">
        <v>5000</v>
      </c>
      <c r="N99" s="1" t="s">
        <v>31</v>
      </c>
      <c r="O99" s="3" t="s">
        <v>32</v>
      </c>
      <c r="P99" s="3" t="s">
        <v>33</v>
      </c>
      <c r="Q99" s="14">
        <v>46127</v>
      </c>
      <c r="R99" s="14">
        <v>46123</v>
      </c>
      <c r="S99" s="14">
        <v>46124</v>
      </c>
      <c r="T99" s="3">
        <v>5</v>
      </c>
      <c r="U99" s="3">
        <v>3</v>
      </c>
      <c r="V99" s="1" t="s">
        <v>34</v>
      </c>
      <c r="W99" s="3">
        <f>IF(Clean_Request_Template[[#This Row],[SLA_Met]]="Yes",1,0)</f>
        <v>1</v>
      </c>
    </row>
    <row r="100" spans="2:23" x14ac:dyDescent="0.3">
      <c r="B100" s="5" t="s">
        <v>253</v>
      </c>
      <c r="C100" s="14">
        <v>46123</v>
      </c>
      <c r="D100" s="31" t="s">
        <v>22</v>
      </c>
      <c r="E100" s="31" t="s">
        <v>37</v>
      </c>
      <c r="F100" s="31" t="s">
        <v>38</v>
      </c>
      <c r="G100" s="31" t="s">
        <v>39</v>
      </c>
      <c r="H100" s="1" t="s">
        <v>26</v>
      </c>
      <c r="I100" s="1" t="s">
        <v>254</v>
      </c>
      <c r="J100" s="31" t="s">
        <v>28</v>
      </c>
      <c r="K100" s="31" t="str">
        <f>_xlfn.XLOOKUP(Clean_Request_Template[[#This Row],[VendorID]],Vendors[VendorID],Vendors[VendorName],"Missing Vendor")</f>
        <v>Missing Vendor</v>
      </c>
      <c r="L100" s="1"/>
      <c r="M100" s="18">
        <v>12000</v>
      </c>
      <c r="N100" s="1" t="s">
        <v>31</v>
      </c>
      <c r="O100" s="3" t="s">
        <v>43</v>
      </c>
      <c r="P100" s="3" t="s">
        <v>44</v>
      </c>
      <c r="Q100" s="14">
        <v>46128</v>
      </c>
      <c r="R100" s="14">
        <v>46124</v>
      </c>
      <c r="S100" s="14">
        <v>46125</v>
      </c>
      <c r="T100" s="3">
        <v>8</v>
      </c>
      <c r="U100" s="3">
        <v>9</v>
      </c>
      <c r="V100" s="1" t="s">
        <v>45</v>
      </c>
      <c r="W100" s="3">
        <f>IF(Clean_Request_Template[[#This Row],[SLA_Met]]="Yes",1,0)</f>
        <v>0</v>
      </c>
    </row>
    <row r="101" spans="2:23" x14ac:dyDescent="0.3">
      <c r="B101" s="5" t="s">
        <v>255</v>
      </c>
      <c r="C101" s="14">
        <v>46124</v>
      </c>
      <c r="D101" s="31" t="s">
        <v>36</v>
      </c>
      <c r="E101" s="31" t="s">
        <v>390</v>
      </c>
      <c r="F101" s="31" t="s">
        <v>49</v>
      </c>
      <c r="G101" s="31" t="s">
        <v>50</v>
      </c>
      <c r="H101" s="1" t="s">
        <v>26</v>
      </c>
      <c r="I101" s="1" t="s">
        <v>256</v>
      </c>
      <c r="J101" s="31" t="s">
        <v>41</v>
      </c>
      <c r="K101" s="31" t="str">
        <f>_xlfn.XLOOKUP(Clean_Request_Template[[#This Row],[VendorID]],Vendors[VendorID],Vendors[VendorName],"Missing Vendor")</f>
        <v>Horizon Travel</v>
      </c>
      <c r="L101" s="1" t="s">
        <v>53</v>
      </c>
      <c r="M101" s="18">
        <v>450</v>
      </c>
      <c r="N101" s="1" t="s">
        <v>31</v>
      </c>
      <c r="O101" s="3" t="s">
        <v>55</v>
      </c>
      <c r="P101" s="3" t="s">
        <v>56</v>
      </c>
      <c r="Q101" s="14">
        <v>46129</v>
      </c>
      <c r="R101" s="14">
        <v>46125</v>
      </c>
      <c r="S101" s="14">
        <v>46126</v>
      </c>
      <c r="T101" s="3">
        <v>10</v>
      </c>
      <c r="U101" s="3">
        <v>7</v>
      </c>
      <c r="V101" s="1" t="s">
        <v>34</v>
      </c>
      <c r="W101" s="3">
        <f>IF(Clean_Request_Template[[#This Row],[SLA_Met]]="Yes",1,0)</f>
        <v>1</v>
      </c>
    </row>
    <row r="102" spans="2:23" x14ac:dyDescent="0.3">
      <c r="B102" s="5" t="s">
        <v>257</v>
      </c>
      <c r="C102" s="14">
        <v>46125</v>
      </c>
      <c r="D102" s="31" t="s">
        <v>47</v>
      </c>
      <c r="E102" s="31" t="s">
        <v>391</v>
      </c>
      <c r="F102" s="31" t="s">
        <v>60</v>
      </c>
      <c r="G102" s="31" t="s">
        <v>61</v>
      </c>
      <c r="H102" s="1" t="s">
        <v>26</v>
      </c>
      <c r="I102" s="1" t="s">
        <v>258</v>
      </c>
      <c r="J102" s="31" t="s">
        <v>52</v>
      </c>
      <c r="K102" s="31" t="str">
        <f>_xlfn.XLOOKUP(Clean_Request_Template[[#This Row],[VendorID]],Vendors[VendorID],Vendors[VendorName],"Missing Vendor")</f>
        <v>Delta Services</v>
      </c>
      <c r="L102" s="1" t="s">
        <v>63</v>
      </c>
      <c r="M102" s="18">
        <v>0</v>
      </c>
      <c r="N102" s="1" t="s">
        <v>31</v>
      </c>
      <c r="O102" s="3" t="s">
        <v>32</v>
      </c>
      <c r="P102" s="3" t="s">
        <v>33</v>
      </c>
      <c r="Q102" s="14">
        <v>46130</v>
      </c>
      <c r="R102" s="14">
        <v>46126</v>
      </c>
      <c r="S102" s="14">
        <v>46127</v>
      </c>
      <c r="T102" s="3">
        <v>3</v>
      </c>
      <c r="U102" s="3">
        <v>2</v>
      </c>
      <c r="V102" s="1" t="s">
        <v>34</v>
      </c>
      <c r="W102" s="3">
        <f>IF(Clean_Request_Template[[#This Row],[SLA_Met]]="Yes",1,0)</f>
        <v>1</v>
      </c>
    </row>
    <row r="103" spans="2:23" x14ac:dyDescent="0.3">
      <c r="B103" s="5" t="s">
        <v>259</v>
      </c>
      <c r="C103" s="14">
        <v>46126</v>
      </c>
      <c r="D103" s="31" t="s">
        <v>58</v>
      </c>
      <c r="E103" s="31" t="s">
        <v>392</v>
      </c>
      <c r="F103" s="31" t="s">
        <v>66</v>
      </c>
      <c r="G103" s="31" t="s">
        <v>67</v>
      </c>
      <c r="H103" s="1" t="s">
        <v>26</v>
      </c>
      <c r="I103" s="1" t="s">
        <v>260</v>
      </c>
      <c r="J103" s="31" t="s">
        <v>28</v>
      </c>
      <c r="K103" s="31" t="str">
        <f>_xlfn.XLOOKUP(Clean_Request_Template[[#This Row],[VendorID]],Vendors[VendorID],Vendors[VendorName],"Missing Vendor")</f>
        <v>Missing Vendor</v>
      </c>
      <c r="L103" s="1"/>
      <c r="M103" s="18">
        <v>8000</v>
      </c>
      <c r="N103" s="1" t="s">
        <v>31</v>
      </c>
      <c r="O103" s="3" t="s">
        <v>32</v>
      </c>
      <c r="P103" s="3" t="s">
        <v>70</v>
      </c>
      <c r="Q103" s="14">
        <v>46131</v>
      </c>
      <c r="R103" s="14">
        <v>46127</v>
      </c>
      <c r="S103" s="14">
        <v>46128</v>
      </c>
      <c r="T103" s="3">
        <v>5</v>
      </c>
      <c r="U103" s="3">
        <v>4</v>
      </c>
      <c r="V103" s="1" t="s">
        <v>34</v>
      </c>
      <c r="W103" s="3">
        <f>IF(Clean_Request_Template[[#This Row],[SLA_Met]]="Yes",1,0)</f>
        <v>1</v>
      </c>
    </row>
    <row r="104" spans="2:23" x14ac:dyDescent="0.3">
      <c r="B104" s="5" t="s">
        <v>261</v>
      </c>
      <c r="C104" s="14">
        <v>46127</v>
      </c>
      <c r="D104" s="31" t="s">
        <v>22</v>
      </c>
      <c r="E104" s="31" t="s">
        <v>23</v>
      </c>
      <c r="F104" s="31" t="s">
        <v>24</v>
      </c>
      <c r="G104" s="31" t="s">
        <v>25</v>
      </c>
      <c r="H104" s="1" t="s">
        <v>26</v>
      </c>
      <c r="I104" s="1" t="s">
        <v>262</v>
      </c>
      <c r="J104" s="31" t="s">
        <v>41</v>
      </c>
      <c r="K104" s="31" t="str">
        <f>_xlfn.XLOOKUP(Clean_Request_Template[[#This Row],[VendorID]],Vendors[VendorID],Vendors[VendorName],"Missing Vendor")</f>
        <v>Alpha Supplies</v>
      </c>
      <c r="L104" s="1" t="s">
        <v>29</v>
      </c>
      <c r="M104" s="18">
        <v>5000</v>
      </c>
      <c r="N104" s="1" t="s">
        <v>31</v>
      </c>
      <c r="O104" s="3" t="s">
        <v>32</v>
      </c>
      <c r="P104" s="3" t="s">
        <v>33</v>
      </c>
      <c r="Q104" s="14">
        <v>46132</v>
      </c>
      <c r="R104" s="14">
        <v>46128</v>
      </c>
      <c r="S104" s="14">
        <v>46129</v>
      </c>
      <c r="T104" s="3">
        <v>5</v>
      </c>
      <c r="U104" s="3">
        <v>3</v>
      </c>
      <c r="V104" s="1" t="s">
        <v>34</v>
      </c>
      <c r="W104" s="3">
        <f>IF(Clean_Request_Template[[#This Row],[SLA_Met]]="Yes",1,0)</f>
        <v>1</v>
      </c>
    </row>
    <row r="105" spans="2:23" x14ac:dyDescent="0.3">
      <c r="B105" s="5" t="s">
        <v>263</v>
      </c>
      <c r="C105" s="14">
        <v>46128</v>
      </c>
      <c r="D105" s="31" t="s">
        <v>36</v>
      </c>
      <c r="E105" s="31" t="s">
        <v>37</v>
      </c>
      <c r="F105" s="31" t="s">
        <v>38</v>
      </c>
      <c r="G105" s="31" t="s">
        <v>39</v>
      </c>
      <c r="H105" s="1" t="s">
        <v>26</v>
      </c>
      <c r="I105" s="1" t="s">
        <v>264</v>
      </c>
      <c r="J105" s="31" t="s">
        <v>52</v>
      </c>
      <c r="K105" s="31" t="str">
        <f>_xlfn.XLOOKUP(Clean_Request_Template[[#This Row],[VendorID]],Vendors[VendorID],Vendors[VendorName],"Missing Vendor")</f>
        <v>Missing Vendor</v>
      </c>
      <c r="L105" s="1"/>
      <c r="M105" s="18">
        <v>12000</v>
      </c>
      <c r="N105" s="1" t="s">
        <v>31</v>
      </c>
      <c r="O105" s="3" t="s">
        <v>43</v>
      </c>
      <c r="P105" s="3" t="s">
        <v>44</v>
      </c>
      <c r="Q105" s="14">
        <v>46133</v>
      </c>
      <c r="R105" s="14">
        <v>46129</v>
      </c>
      <c r="S105" s="14">
        <v>46130</v>
      </c>
      <c r="T105" s="3">
        <v>8</v>
      </c>
      <c r="U105" s="3">
        <v>9</v>
      </c>
      <c r="V105" s="1" t="s">
        <v>45</v>
      </c>
      <c r="W105" s="3">
        <f>IF(Clean_Request_Template[[#This Row],[SLA_Met]]="Yes",1,0)</f>
        <v>0</v>
      </c>
    </row>
    <row r="106" spans="2:23" x14ac:dyDescent="0.3">
      <c r="B106" s="5" t="s">
        <v>265</v>
      </c>
      <c r="C106" s="14">
        <v>46129</v>
      </c>
      <c r="D106" s="31" t="s">
        <v>47</v>
      </c>
      <c r="E106" s="31" t="s">
        <v>390</v>
      </c>
      <c r="F106" s="31" t="s">
        <v>49</v>
      </c>
      <c r="G106" s="31" t="s">
        <v>50</v>
      </c>
      <c r="H106" s="1" t="s">
        <v>26</v>
      </c>
      <c r="I106" s="1" t="s">
        <v>266</v>
      </c>
      <c r="J106" s="31" t="s">
        <v>28</v>
      </c>
      <c r="K106" s="31" t="str">
        <f>_xlfn.XLOOKUP(Clean_Request_Template[[#This Row],[VendorID]],Vendors[VendorID],Vendors[VendorName],"Missing Vendor")</f>
        <v>Horizon Travel</v>
      </c>
      <c r="L106" s="1" t="s">
        <v>53</v>
      </c>
      <c r="M106" s="18">
        <v>450</v>
      </c>
      <c r="N106" s="1" t="s">
        <v>31</v>
      </c>
      <c r="O106" s="3" t="s">
        <v>55</v>
      </c>
      <c r="P106" s="3" t="s">
        <v>56</v>
      </c>
      <c r="Q106" s="14">
        <v>46134</v>
      </c>
      <c r="R106" s="14">
        <v>46130</v>
      </c>
      <c r="S106" s="14">
        <v>46131</v>
      </c>
      <c r="T106" s="3">
        <v>10</v>
      </c>
      <c r="U106" s="3">
        <v>7</v>
      </c>
      <c r="V106" s="1" t="s">
        <v>34</v>
      </c>
      <c r="W106" s="3">
        <f>IF(Clean_Request_Template[[#This Row],[SLA_Met]]="Yes",1,0)</f>
        <v>1</v>
      </c>
    </row>
    <row r="107" spans="2:23" x14ac:dyDescent="0.3">
      <c r="B107" s="5" t="s">
        <v>267</v>
      </c>
      <c r="C107" s="14">
        <v>46130</v>
      </c>
      <c r="D107" s="31" t="s">
        <v>58</v>
      </c>
      <c r="E107" s="31" t="s">
        <v>391</v>
      </c>
      <c r="F107" s="31" t="s">
        <v>60</v>
      </c>
      <c r="G107" s="31" t="s">
        <v>61</v>
      </c>
      <c r="H107" s="1" t="s">
        <v>26</v>
      </c>
      <c r="I107" s="1" t="s">
        <v>268</v>
      </c>
      <c r="J107" s="31" t="s">
        <v>41</v>
      </c>
      <c r="K107" s="31" t="str">
        <f>_xlfn.XLOOKUP(Clean_Request_Template[[#This Row],[VendorID]],Vendors[VendorID],Vendors[VendorName],"Missing Vendor")</f>
        <v>Delta Services</v>
      </c>
      <c r="L107" s="1" t="s">
        <v>63</v>
      </c>
      <c r="M107" s="18">
        <v>0</v>
      </c>
      <c r="N107" s="1" t="s">
        <v>31</v>
      </c>
      <c r="O107" s="3" t="s">
        <v>32</v>
      </c>
      <c r="P107" s="3" t="s">
        <v>33</v>
      </c>
      <c r="Q107" s="14">
        <v>46135</v>
      </c>
      <c r="R107" s="14">
        <v>46131</v>
      </c>
      <c r="S107" s="14">
        <v>46132</v>
      </c>
      <c r="T107" s="3">
        <v>3</v>
      </c>
      <c r="U107" s="3">
        <v>2</v>
      </c>
      <c r="V107" s="1" t="s">
        <v>34</v>
      </c>
      <c r="W107" s="3">
        <f>IF(Clean_Request_Template[[#This Row],[SLA_Met]]="Yes",1,0)</f>
        <v>1</v>
      </c>
    </row>
    <row r="108" spans="2:23" x14ac:dyDescent="0.3">
      <c r="B108" s="5" t="s">
        <v>269</v>
      </c>
      <c r="C108" s="14">
        <v>46131</v>
      </c>
      <c r="D108" s="31" t="s">
        <v>22</v>
      </c>
      <c r="E108" s="31" t="s">
        <v>392</v>
      </c>
      <c r="F108" s="31" t="s">
        <v>66</v>
      </c>
      <c r="G108" s="31" t="s">
        <v>67</v>
      </c>
      <c r="H108" s="1" t="s">
        <v>26</v>
      </c>
      <c r="I108" s="1" t="s">
        <v>270</v>
      </c>
      <c r="J108" s="31" t="s">
        <v>52</v>
      </c>
      <c r="K108" s="31" t="str">
        <f>_xlfn.XLOOKUP(Clean_Request_Template[[#This Row],[VendorID]],Vendors[VendorID],Vendors[VendorName],"Missing Vendor")</f>
        <v>Missing Vendor</v>
      </c>
      <c r="L108" s="1"/>
      <c r="M108" s="18">
        <v>8000</v>
      </c>
      <c r="N108" s="1" t="s">
        <v>31</v>
      </c>
      <c r="O108" s="3" t="s">
        <v>32</v>
      </c>
      <c r="P108" s="3" t="s">
        <v>70</v>
      </c>
      <c r="Q108" s="14">
        <v>46136</v>
      </c>
      <c r="R108" s="14">
        <v>46132</v>
      </c>
      <c r="S108" s="14">
        <v>46133</v>
      </c>
      <c r="T108" s="3">
        <v>5</v>
      </c>
      <c r="U108" s="3">
        <v>4</v>
      </c>
      <c r="V108" s="1" t="s">
        <v>34</v>
      </c>
      <c r="W108" s="3">
        <f>IF(Clean_Request_Template[[#This Row],[SLA_Met]]="Yes",1,0)</f>
        <v>1</v>
      </c>
    </row>
    <row r="109" spans="2:23" x14ac:dyDescent="0.3">
      <c r="B109" s="5" t="s">
        <v>271</v>
      </c>
      <c r="C109" s="14">
        <v>46132</v>
      </c>
      <c r="D109" s="31" t="s">
        <v>36</v>
      </c>
      <c r="E109" s="31" t="s">
        <v>23</v>
      </c>
      <c r="F109" s="31" t="s">
        <v>24</v>
      </c>
      <c r="G109" s="31" t="s">
        <v>25</v>
      </c>
      <c r="H109" s="1" t="s">
        <v>26</v>
      </c>
      <c r="I109" s="1" t="s">
        <v>272</v>
      </c>
      <c r="J109" s="31" t="s">
        <v>28</v>
      </c>
      <c r="K109" s="31" t="str">
        <f>_xlfn.XLOOKUP(Clean_Request_Template[[#This Row],[VendorID]],Vendors[VendorID],Vendors[VendorName],"Missing Vendor")</f>
        <v>Alpha Supplies</v>
      </c>
      <c r="L109" s="1" t="s">
        <v>29</v>
      </c>
      <c r="M109" s="18">
        <v>5000</v>
      </c>
      <c r="N109" s="1" t="s">
        <v>31</v>
      </c>
      <c r="O109" s="3" t="s">
        <v>32</v>
      </c>
      <c r="P109" s="3" t="s">
        <v>33</v>
      </c>
      <c r="Q109" s="14">
        <v>46137</v>
      </c>
      <c r="R109" s="14">
        <v>46133</v>
      </c>
      <c r="S109" s="14">
        <v>46134</v>
      </c>
      <c r="T109" s="3">
        <v>5</v>
      </c>
      <c r="U109" s="3">
        <v>3</v>
      </c>
      <c r="V109" s="1" t="s">
        <v>34</v>
      </c>
      <c r="W109" s="3">
        <f>IF(Clean_Request_Template[[#This Row],[SLA_Met]]="Yes",1,0)</f>
        <v>1</v>
      </c>
    </row>
    <row r="110" spans="2:23" x14ac:dyDescent="0.3">
      <c r="B110" s="5" t="s">
        <v>273</v>
      </c>
      <c r="C110" s="14">
        <v>46133</v>
      </c>
      <c r="D110" s="31" t="s">
        <v>47</v>
      </c>
      <c r="E110" s="31" t="s">
        <v>37</v>
      </c>
      <c r="F110" s="31" t="s">
        <v>38</v>
      </c>
      <c r="G110" s="31" t="s">
        <v>39</v>
      </c>
      <c r="H110" s="1" t="s">
        <v>26</v>
      </c>
      <c r="I110" s="1" t="s">
        <v>274</v>
      </c>
      <c r="J110" s="31" t="s">
        <v>41</v>
      </c>
      <c r="K110" s="31" t="str">
        <f>_xlfn.XLOOKUP(Clean_Request_Template[[#This Row],[VendorID]],Vendors[VendorID],Vendors[VendorName],"Missing Vendor")</f>
        <v>Missing Vendor</v>
      </c>
      <c r="L110" s="1"/>
      <c r="M110" s="18">
        <v>12000</v>
      </c>
      <c r="N110" s="1" t="s">
        <v>31</v>
      </c>
      <c r="O110" s="3" t="s">
        <v>43</v>
      </c>
      <c r="P110" s="3" t="s">
        <v>44</v>
      </c>
      <c r="Q110" s="14">
        <v>46138</v>
      </c>
      <c r="R110" s="14">
        <v>46134</v>
      </c>
      <c r="S110" s="14">
        <v>46135</v>
      </c>
      <c r="T110" s="3">
        <v>8</v>
      </c>
      <c r="U110" s="3">
        <v>9</v>
      </c>
      <c r="V110" s="1" t="s">
        <v>45</v>
      </c>
      <c r="W110" s="3">
        <f>IF(Clean_Request_Template[[#This Row],[SLA_Met]]="Yes",1,0)</f>
        <v>0</v>
      </c>
    </row>
    <row r="111" spans="2:23" x14ac:dyDescent="0.3">
      <c r="B111" s="5" t="s">
        <v>275</v>
      </c>
      <c r="C111" s="14">
        <v>46134</v>
      </c>
      <c r="D111" s="31" t="s">
        <v>58</v>
      </c>
      <c r="E111" s="31" t="s">
        <v>390</v>
      </c>
      <c r="F111" s="31" t="s">
        <v>49</v>
      </c>
      <c r="G111" s="31" t="s">
        <v>50</v>
      </c>
      <c r="H111" s="1" t="s">
        <v>26</v>
      </c>
      <c r="I111" s="1" t="s">
        <v>276</v>
      </c>
      <c r="J111" s="31" t="s">
        <v>52</v>
      </c>
      <c r="K111" s="31" t="str">
        <f>_xlfn.XLOOKUP(Clean_Request_Template[[#This Row],[VendorID]],Vendors[VendorID],Vendors[VendorName],"Missing Vendor")</f>
        <v>Horizon Travel</v>
      </c>
      <c r="L111" s="1" t="s">
        <v>53</v>
      </c>
      <c r="M111" s="18">
        <v>450</v>
      </c>
      <c r="N111" s="1" t="s">
        <v>31</v>
      </c>
      <c r="O111" s="3" t="s">
        <v>55</v>
      </c>
      <c r="P111" s="3" t="s">
        <v>56</v>
      </c>
      <c r="Q111" s="14">
        <v>46139</v>
      </c>
      <c r="R111" s="14">
        <v>46135</v>
      </c>
      <c r="S111" s="14">
        <v>46136</v>
      </c>
      <c r="T111" s="3">
        <v>10</v>
      </c>
      <c r="U111" s="3">
        <v>7</v>
      </c>
      <c r="V111" s="1" t="s">
        <v>34</v>
      </c>
      <c r="W111" s="3">
        <f>IF(Clean_Request_Template[[#This Row],[SLA_Met]]="Yes",1,0)</f>
        <v>1</v>
      </c>
    </row>
    <row r="112" spans="2:23" x14ac:dyDescent="0.3">
      <c r="B112" s="5" t="s">
        <v>277</v>
      </c>
      <c r="C112" s="14">
        <v>46135</v>
      </c>
      <c r="D112" s="31" t="s">
        <v>22</v>
      </c>
      <c r="E112" s="31" t="s">
        <v>391</v>
      </c>
      <c r="F112" s="31" t="s">
        <v>60</v>
      </c>
      <c r="G112" s="31" t="s">
        <v>61</v>
      </c>
      <c r="H112" s="1" t="s">
        <v>26</v>
      </c>
      <c r="I112" s="1" t="s">
        <v>278</v>
      </c>
      <c r="J112" s="31" t="s">
        <v>28</v>
      </c>
      <c r="K112" s="31" t="str">
        <f>_xlfn.XLOOKUP(Clean_Request_Template[[#This Row],[VendorID]],Vendors[VendorID],Vendors[VendorName],"Missing Vendor")</f>
        <v>Delta Services</v>
      </c>
      <c r="L112" s="1" t="s">
        <v>63</v>
      </c>
      <c r="M112" s="18">
        <v>0</v>
      </c>
      <c r="N112" s="1" t="s">
        <v>31</v>
      </c>
      <c r="O112" s="3" t="s">
        <v>32</v>
      </c>
      <c r="P112" s="3" t="s">
        <v>33</v>
      </c>
      <c r="Q112" s="14">
        <v>46140</v>
      </c>
      <c r="R112" s="14">
        <v>46136</v>
      </c>
      <c r="S112" s="14">
        <v>46137</v>
      </c>
      <c r="T112" s="3">
        <v>3</v>
      </c>
      <c r="U112" s="3">
        <v>2</v>
      </c>
      <c r="V112" s="1" t="s">
        <v>34</v>
      </c>
      <c r="W112" s="3">
        <f>IF(Clean_Request_Template[[#This Row],[SLA_Met]]="Yes",1,0)</f>
        <v>1</v>
      </c>
    </row>
    <row r="113" spans="2:23" x14ac:dyDescent="0.3">
      <c r="B113" s="5" t="s">
        <v>279</v>
      </c>
      <c r="C113" s="14">
        <v>46136</v>
      </c>
      <c r="D113" s="31" t="s">
        <v>36</v>
      </c>
      <c r="E113" s="31" t="s">
        <v>392</v>
      </c>
      <c r="F113" s="31" t="s">
        <v>66</v>
      </c>
      <c r="G113" s="31" t="s">
        <v>67</v>
      </c>
      <c r="H113" s="1" t="s">
        <v>26</v>
      </c>
      <c r="I113" s="1" t="s">
        <v>280</v>
      </c>
      <c r="J113" s="31" t="s">
        <v>41</v>
      </c>
      <c r="K113" s="31" t="str">
        <f>_xlfn.XLOOKUP(Clean_Request_Template[[#This Row],[VendorID]],Vendors[VendorID],Vendors[VendorName],"Missing Vendor")</f>
        <v>Missing Vendor</v>
      </c>
      <c r="L113" s="1"/>
      <c r="M113" s="18">
        <v>8000</v>
      </c>
      <c r="N113" s="1" t="s">
        <v>31</v>
      </c>
      <c r="O113" s="3" t="s">
        <v>32</v>
      </c>
      <c r="P113" s="3" t="s">
        <v>70</v>
      </c>
      <c r="Q113" s="14">
        <v>46141</v>
      </c>
      <c r="R113" s="14">
        <v>46137</v>
      </c>
      <c r="S113" s="14">
        <v>46138</v>
      </c>
      <c r="T113" s="3">
        <v>5</v>
      </c>
      <c r="U113" s="3">
        <v>4</v>
      </c>
      <c r="V113" s="1" t="s">
        <v>34</v>
      </c>
      <c r="W113" s="3">
        <f>IF(Clean_Request_Template[[#This Row],[SLA_Met]]="Yes",1,0)</f>
        <v>1</v>
      </c>
    </row>
    <row r="114" spans="2:23" x14ac:dyDescent="0.3">
      <c r="B114" s="5" t="s">
        <v>281</v>
      </c>
      <c r="C114" s="14">
        <v>46137</v>
      </c>
      <c r="D114" s="31" t="s">
        <v>47</v>
      </c>
      <c r="E114" s="31" t="s">
        <v>23</v>
      </c>
      <c r="F114" s="31" t="s">
        <v>24</v>
      </c>
      <c r="G114" s="31" t="s">
        <v>25</v>
      </c>
      <c r="H114" s="1" t="s">
        <v>26</v>
      </c>
      <c r="I114" s="1" t="s">
        <v>282</v>
      </c>
      <c r="J114" s="31" t="s">
        <v>52</v>
      </c>
      <c r="K114" s="31" t="str">
        <f>_xlfn.XLOOKUP(Clean_Request_Template[[#This Row],[VendorID]],Vendors[VendorID],Vendors[VendorName],"Missing Vendor")</f>
        <v>Alpha Supplies</v>
      </c>
      <c r="L114" s="1" t="s">
        <v>29</v>
      </c>
      <c r="M114" s="18">
        <v>5000</v>
      </c>
      <c r="N114" s="1" t="s">
        <v>31</v>
      </c>
      <c r="O114" s="3" t="s">
        <v>32</v>
      </c>
      <c r="P114" s="3" t="s">
        <v>33</v>
      </c>
      <c r="Q114" s="14">
        <v>46142</v>
      </c>
      <c r="R114" s="14">
        <v>46138</v>
      </c>
      <c r="S114" s="14">
        <v>46139</v>
      </c>
      <c r="T114" s="3">
        <v>5</v>
      </c>
      <c r="U114" s="3">
        <v>3</v>
      </c>
      <c r="V114" s="1" t="s">
        <v>34</v>
      </c>
      <c r="W114" s="3">
        <f>IF(Clean_Request_Template[[#This Row],[SLA_Met]]="Yes",1,0)</f>
        <v>1</v>
      </c>
    </row>
    <row r="115" spans="2:23" x14ac:dyDescent="0.3">
      <c r="B115" s="5" t="s">
        <v>283</v>
      </c>
      <c r="C115" s="14">
        <v>46138</v>
      </c>
      <c r="D115" s="31" t="s">
        <v>58</v>
      </c>
      <c r="E115" s="31" t="s">
        <v>37</v>
      </c>
      <c r="F115" s="31" t="s">
        <v>38</v>
      </c>
      <c r="G115" s="31" t="s">
        <v>39</v>
      </c>
      <c r="H115" s="1" t="s">
        <v>26</v>
      </c>
      <c r="I115" s="1" t="s">
        <v>284</v>
      </c>
      <c r="J115" s="31" t="s">
        <v>28</v>
      </c>
      <c r="K115" s="31" t="str">
        <f>_xlfn.XLOOKUP(Clean_Request_Template[[#This Row],[VendorID]],Vendors[VendorID],Vendors[VendorName],"Missing Vendor")</f>
        <v>Missing Vendor</v>
      </c>
      <c r="L115" s="1"/>
      <c r="M115" s="18">
        <v>12000</v>
      </c>
      <c r="N115" s="1" t="s">
        <v>31</v>
      </c>
      <c r="O115" s="3" t="s">
        <v>43</v>
      </c>
      <c r="P115" s="3" t="s">
        <v>44</v>
      </c>
      <c r="Q115" s="14">
        <v>46143</v>
      </c>
      <c r="R115" s="14">
        <v>46139</v>
      </c>
      <c r="S115" s="14">
        <v>46140</v>
      </c>
      <c r="T115" s="3">
        <v>8</v>
      </c>
      <c r="U115" s="3">
        <v>9</v>
      </c>
      <c r="V115" s="1" t="s">
        <v>45</v>
      </c>
      <c r="W115" s="3">
        <f>IF(Clean_Request_Template[[#This Row],[SLA_Met]]="Yes",1,0)</f>
        <v>0</v>
      </c>
    </row>
    <row r="116" spans="2:23" x14ac:dyDescent="0.3">
      <c r="B116" s="5" t="s">
        <v>285</v>
      </c>
      <c r="C116" s="14">
        <v>46139</v>
      </c>
      <c r="D116" s="31" t="s">
        <v>22</v>
      </c>
      <c r="E116" s="31" t="s">
        <v>390</v>
      </c>
      <c r="F116" s="31" t="s">
        <v>49</v>
      </c>
      <c r="G116" s="31" t="s">
        <v>50</v>
      </c>
      <c r="H116" s="1" t="s">
        <v>26</v>
      </c>
      <c r="I116" s="1" t="s">
        <v>286</v>
      </c>
      <c r="J116" s="31" t="s">
        <v>41</v>
      </c>
      <c r="K116" s="31" t="str">
        <f>_xlfn.XLOOKUP(Clean_Request_Template[[#This Row],[VendorID]],Vendors[VendorID],Vendors[VendorName],"Missing Vendor")</f>
        <v>Horizon Travel</v>
      </c>
      <c r="L116" s="1" t="s">
        <v>53</v>
      </c>
      <c r="M116" s="18">
        <v>450</v>
      </c>
      <c r="N116" s="1" t="s">
        <v>31</v>
      </c>
      <c r="O116" s="3" t="s">
        <v>55</v>
      </c>
      <c r="P116" s="3" t="s">
        <v>56</v>
      </c>
      <c r="Q116" s="14">
        <v>46144</v>
      </c>
      <c r="R116" s="14">
        <v>46140</v>
      </c>
      <c r="S116" s="14">
        <v>46141</v>
      </c>
      <c r="T116" s="3">
        <v>10</v>
      </c>
      <c r="U116" s="3">
        <v>7</v>
      </c>
      <c r="V116" s="1" t="s">
        <v>34</v>
      </c>
      <c r="W116" s="3">
        <f>IF(Clean_Request_Template[[#This Row],[SLA_Met]]="Yes",1,0)</f>
        <v>1</v>
      </c>
    </row>
    <row r="117" spans="2:23" x14ac:dyDescent="0.3">
      <c r="B117" s="5" t="s">
        <v>287</v>
      </c>
      <c r="C117" s="14">
        <v>46140</v>
      </c>
      <c r="D117" s="31" t="s">
        <v>36</v>
      </c>
      <c r="E117" s="31" t="s">
        <v>391</v>
      </c>
      <c r="F117" s="31" t="s">
        <v>60</v>
      </c>
      <c r="G117" s="31" t="s">
        <v>61</v>
      </c>
      <c r="H117" s="1" t="s">
        <v>26</v>
      </c>
      <c r="I117" s="1" t="s">
        <v>288</v>
      </c>
      <c r="J117" s="31" t="s">
        <v>52</v>
      </c>
      <c r="K117" s="31" t="str">
        <f>_xlfn.XLOOKUP(Clean_Request_Template[[#This Row],[VendorID]],Vendors[VendorID],Vendors[VendorName],"Missing Vendor")</f>
        <v>Delta Services</v>
      </c>
      <c r="L117" s="1" t="s">
        <v>63</v>
      </c>
      <c r="M117" s="18">
        <v>0</v>
      </c>
      <c r="N117" s="1" t="s">
        <v>31</v>
      </c>
      <c r="O117" s="3" t="s">
        <v>32</v>
      </c>
      <c r="P117" s="3" t="s">
        <v>33</v>
      </c>
      <c r="Q117" s="14">
        <v>46145</v>
      </c>
      <c r="R117" s="14">
        <v>46141</v>
      </c>
      <c r="S117" s="14">
        <v>46142</v>
      </c>
      <c r="T117" s="3">
        <v>3</v>
      </c>
      <c r="U117" s="3">
        <v>2</v>
      </c>
      <c r="V117" s="1" t="s">
        <v>34</v>
      </c>
      <c r="W117" s="3">
        <f>IF(Clean_Request_Template[[#This Row],[SLA_Met]]="Yes",1,0)</f>
        <v>1</v>
      </c>
    </row>
    <row r="118" spans="2:23" x14ac:dyDescent="0.3">
      <c r="B118" s="5" t="s">
        <v>289</v>
      </c>
      <c r="C118" s="14">
        <v>46141</v>
      </c>
      <c r="D118" s="31" t="s">
        <v>47</v>
      </c>
      <c r="E118" s="31" t="s">
        <v>392</v>
      </c>
      <c r="F118" s="31" t="s">
        <v>66</v>
      </c>
      <c r="G118" s="31" t="s">
        <v>67</v>
      </c>
      <c r="H118" s="1" t="s">
        <v>26</v>
      </c>
      <c r="I118" s="1" t="s">
        <v>290</v>
      </c>
      <c r="J118" s="31" t="s">
        <v>28</v>
      </c>
      <c r="K118" s="31" t="str">
        <f>_xlfn.XLOOKUP(Clean_Request_Template[[#This Row],[VendorID]],Vendors[VendorID],Vendors[VendorName],"Missing Vendor")</f>
        <v>Missing Vendor</v>
      </c>
      <c r="L118" s="1"/>
      <c r="M118" s="18">
        <v>8000</v>
      </c>
      <c r="N118" s="1" t="s">
        <v>31</v>
      </c>
      <c r="O118" s="3" t="s">
        <v>32</v>
      </c>
      <c r="P118" s="3" t="s">
        <v>70</v>
      </c>
      <c r="Q118" s="14">
        <v>46146</v>
      </c>
      <c r="R118" s="14">
        <v>46142</v>
      </c>
      <c r="S118" s="14">
        <v>46143</v>
      </c>
      <c r="T118" s="3">
        <v>5</v>
      </c>
      <c r="U118" s="3">
        <v>4</v>
      </c>
      <c r="V118" s="1" t="s">
        <v>34</v>
      </c>
      <c r="W118" s="3">
        <f>IF(Clean_Request_Template[[#This Row],[SLA_Met]]="Yes",1,0)</f>
        <v>1</v>
      </c>
    </row>
    <row r="119" spans="2:23" x14ac:dyDescent="0.3">
      <c r="B119" s="5" t="s">
        <v>291</v>
      </c>
      <c r="C119" s="14">
        <v>46142</v>
      </c>
      <c r="D119" s="31" t="s">
        <v>58</v>
      </c>
      <c r="E119" s="31" t="s">
        <v>23</v>
      </c>
      <c r="F119" s="31" t="s">
        <v>24</v>
      </c>
      <c r="G119" s="31" t="s">
        <v>25</v>
      </c>
      <c r="H119" s="1" t="s">
        <v>26</v>
      </c>
      <c r="I119" s="1" t="s">
        <v>292</v>
      </c>
      <c r="J119" s="31" t="s">
        <v>41</v>
      </c>
      <c r="K119" s="31" t="str">
        <f>_xlfn.XLOOKUP(Clean_Request_Template[[#This Row],[VendorID]],Vendors[VendorID],Vendors[VendorName],"Missing Vendor")</f>
        <v>Alpha Supplies</v>
      </c>
      <c r="L119" s="1" t="s">
        <v>29</v>
      </c>
      <c r="M119" s="18">
        <v>5000</v>
      </c>
      <c r="N119" s="1" t="s">
        <v>31</v>
      </c>
      <c r="O119" s="3" t="s">
        <v>32</v>
      </c>
      <c r="P119" s="3" t="s">
        <v>33</v>
      </c>
      <c r="Q119" s="14">
        <v>46147</v>
      </c>
      <c r="R119" s="14">
        <v>46143</v>
      </c>
      <c r="S119" s="14">
        <v>46144</v>
      </c>
      <c r="T119" s="3">
        <v>5</v>
      </c>
      <c r="U119" s="3">
        <v>3</v>
      </c>
      <c r="V119" s="1" t="s">
        <v>34</v>
      </c>
      <c r="W119" s="3">
        <f>IF(Clean_Request_Template[[#This Row],[SLA_Met]]="Yes",1,0)</f>
        <v>1</v>
      </c>
    </row>
    <row r="120" spans="2:23" x14ac:dyDescent="0.3">
      <c r="B120" s="5" t="s">
        <v>293</v>
      </c>
      <c r="C120" s="14">
        <v>46143</v>
      </c>
      <c r="D120" s="31" t="s">
        <v>22</v>
      </c>
      <c r="E120" s="31" t="s">
        <v>37</v>
      </c>
      <c r="F120" s="31" t="s">
        <v>38</v>
      </c>
      <c r="G120" s="31" t="s">
        <v>39</v>
      </c>
      <c r="H120" s="1" t="s">
        <v>26</v>
      </c>
      <c r="I120" s="1" t="s">
        <v>294</v>
      </c>
      <c r="J120" s="31" t="s">
        <v>52</v>
      </c>
      <c r="K120" s="31" t="str">
        <f>_xlfn.XLOOKUP(Clean_Request_Template[[#This Row],[VendorID]],Vendors[VendorID],Vendors[VendorName],"Missing Vendor")</f>
        <v>Missing Vendor</v>
      </c>
      <c r="L120" s="1"/>
      <c r="M120" s="18">
        <v>12000</v>
      </c>
      <c r="N120" s="1" t="s">
        <v>31</v>
      </c>
      <c r="O120" s="3" t="s">
        <v>43</v>
      </c>
      <c r="P120" s="3" t="s">
        <v>44</v>
      </c>
      <c r="Q120" s="14">
        <v>46148</v>
      </c>
      <c r="R120" s="14">
        <v>46144</v>
      </c>
      <c r="S120" s="14">
        <v>46145</v>
      </c>
      <c r="T120" s="3">
        <v>8</v>
      </c>
      <c r="U120" s="3">
        <v>9</v>
      </c>
      <c r="V120" s="1" t="s">
        <v>45</v>
      </c>
      <c r="W120" s="3">
        <f>IF(Clean_Request_Template[[#This Row],[SLA_Met]]="Yes",1,0)</f>
        <v>0</v>
      </c>
    </row>
    <row r="121" spans="2:23" x14ac:dyDescent="0.3">
      <c r="B121" s="5" t="s">
        <v>295</v>
      </c>
      <c r="C121" s="14">
        <v>46144</v>
      </c>
      <c r="D121" s="31" t="s">
        <v>36</v>
      </c>
      <c r="E121" s="31" t="s">
        <v>390</v>
      </c>
      <c r="F121" s="31" t="s">
        <v>49</v>
      </c>
      <c r="G121" s="31" t="s">
        <v>50</v>
      </c>
      <c r="H121" s="1" t="s">
        <v>26</v>
      </c>
      <c r="I121" s="1" t="s">
        <v>296</v>
      </c>
      <c r="J121" s="31" t="s">
        <v>28</v>
      </c>
      <c r="K121" s="31" t="str">
        <f>_xlfn.XLOOKUP(Clean_Request_Template[[#This Row],[VendorID]],Vendors[VendorID],Vendors[VendorName],"Missing Vendor")</f>
        <v>Horizon Travel</v>
      </c>
      <c r="L121" s="1" t="s">
        <v>53</v>
      </c>
      <c r="M121" s="18">
        <v>450</v>
      </c>
      <c r="N121" s="1" t="s">
        <v>31</v>
      </c>
      <c r="O121" s="3" t="s">
        <v>55</v>
      </c>
      <c r="P121" s="3" t="s">
        <v>56</v>
      </c>
      <c r="Q121" s="14">
        <v>46149</v>
      </c>
      <c r="R121" s="14">
        <v>46145</v>
      </c>
      <c r="S121" s="14">
        <v>46146</v>
      </c>
      <c r="T121" s="3">
        <v>10</v>
      </c>
      <c r="U121" s="3">
        <v>7</v>
      </c>
      <c r="V121" s="1" t="s">
        <v>34</v>
      </c>
      <c r="W121" s="3">
        <f>IF(Clean_Request_Template[[#This Row],[SLA_Met]]="Yes",1,0)</f>
        <v>1</v>
      </c>
    </row>
    <row r="122" spans="2:23" x14ac:dyDescent="0.3">
      <c r="B122" s="5" t="s">
        <v>297</v>
      </c>
      <c r="C122" s="14">
        <v>46145</v>
      </c>
      <c r="D122" s="31" t="s">
        <v>47</v>
      </c>
      <c r="E122" s="31" t="s">
        <v>391</v>
      </c>
      <c r="F122" s="31" t="s">
        <v>60</v>
      </c>
      <c r="G122" s="31" t="s">
        <v>61</v>
      </c>
      <c r="H122" s="1" t="s">
        <v>26</v>
      </c>
      <c r="I122" s="1" t="s">
        <v>298</v>
      </c>
      <c r="J122" s="31" t="s">
        <v>41</v>
      </c>
      <c r="K122" s="31" t="str">
        <f>_xlfn.XLOOKUP(Clean_Request_Template[[#This Row],[VendorID]],Vendors[VendorID],Vendors[VendorName],"Missing Vendor")</f>
        <v>Delta Services</v>
      </c>
      <c r="L122" s="1" t="s">
        <v>63</v>
      </c>
      <c r="M122" s="18">
        <v>0</v>
      </c>
      <c r="N122" s="1" t="s">
        <v>31</v>
      </c>
      <c r="O122" s="3" t="s">
        <v>32</v>
      </c>
      <c r="P122" s="3" t="s">
        <v>33</v>
      </c>
      <c r="Q122" s="14">
        <v>46150</v>
      </c>
      <c r="R122" s="14">
        <v>46146</v>
      </c>
      <c r="S122" s="14">
        <v>46147</v>
      </c>
      <c r="T122" s="3">
        <v>3</v>
      </c>
      <c r="U122" s="3">
        <v>2</v>
      </c>
      <c r="V122" s="1" t="s">
        <v>34</v>
      </c>
      <c r="W122" s="3">
        <f>IF(Clean_Request_Template[[#This Row],[SLA_Met]]="Yes",1,0)</f>
        <v>1</v>
      </c>
    </row>
    <row r="123" spans="2:23" x14ac:dyDescent="0.3">
      <c r="B123" s="5" t="s">
        <v>299</v>
      </c>
      <c r="C123" s="14">
        <v>46146</v>
      </c>
      <c r="D123" s="31" t="s">
        <v>58</v>
      </c>
      <c r="E123" s="31" t="s">
        <v>392</v>
      </c>
      <c r="F123" s="31" t="s">
        <v>66</v>
      </c>
      <c r="G123" s="31" t="s">
        <v>67</v>
      </c>
      <c r="H123" s="1" t="s">
        <v>26</v>
      </c>
      <c r="I123" s="1" t="s">
        <v>300</v>
      </c>
      <c r="J123" s="31" t="s">
        <v>52</v>
      </c>
      <c r="K123" s="31" t="str">
        <f>_xlfn.XLOOKUP(Clean_Request_Template[[#This Row],[VendorID]],Vendors[VendorID],Vendors[VendorName],"Missing Vendor")</f>
        <v>Missing Vendor</v>
      </c>
      <c r="L123" s="1"/>
      <c r="M123" s="18">
        <v>8000</v>
      </c>
      <c r="N123" s="1" t="s">
        <v>31</v>
      </c>
      <c r="O123" s="3" t="s">
        <v>32</v>
      </c>
      <c r="P123" s="3" t="s">
        <v>70</v>
      </c>
      <c r="Q123" s="14">
        <v>46151</v>
      </c>
      <c r="R123" s="14">
        <v>46147</v>
      </c>
      <c r="S123" s="14">
        <v>46148</v>
      </c>
      <c r="T123" s="3">
        <v>5</v>
      </c>
      <c r="U123" s="3">
        <v>4</v>
      </c>
      <c r="V123" s="1" t="s">
        <v>34</v>
      </c>
      <c r="W123" s="3">
        <f>IF(Clean_Request_Template[[#This Row],[SLA_Met]]="Yes",1,0)</f>
        <v>1</v>
      </c>
    </row>
    <row r="124" spans="2:23" x14ac:dyDescent="0.3">
      <c r="B124" s="5" t="s">
        <v>301</v>
      </c>
      <c r="C124" s="14">
        <v>46147</v>
      </c>
      <c r="D124" s="31" t="s">
        <v>22</v>
      </c>
      <c r="E124" s="31" t="s">
        <v>23</v>
      </c>
      <c r="F124" s="31" t="s">
        <v>24</v>
      </c>
      <c r="G124" s="31" t="s">
        <v>25</v>
      </c>
      <c r="H124" s="1" t="s">
        <v>26</v>
      </c>
      <c r="I124" s="1" t="s">
        <v>302</v>
      </c>
      <c r="J124" s="31" t="s">
        <v>28</v>
      </c>
      <c r="K124" s="31" t="str">
        <f>_xlfn.XLOOKUP(Clean_Request_Template[[#This Row],[VendorID]],Vendors[VendorID],Vendors[VendorName],"Missing Vendor")</f>
        <v>Alpha Supplies</v>
      </c>
      <c r="L124" s="1" t="s">
        <v>29</v>
      </c>
      <c r="M124" s="18">
        <v>5000</v>
      </c>
      <c r="N124" s="1" t="s">
        <v>31</v>
      </c>
      <c r="O124" s="3" t="s">
        <v>32</v>
      </c>
      <c r="P124" s="3" t="s">
        <v>33</v>
      </c>
      <c r="Q124" s="14">
        <v>46152</v>
      </c>
      <c r="R124" s="14">
        <v>46148</v>
      </c>
      <c r="S124" s="14">
        <v>46149</v>
      </c>
      <c r="T124" s="3">
        <v>5</v>
      </c>
      <c r="U124" s="3">
        <v>3</v>
      </c>
      <c r="V124" s="1" t="s">
        <v>34</v>
      </c>
      <c r="W124" s="3">
        <f>IF(Clean_Request_Template[[#This Row],[SLA_Met]]="Yes",1,0)</f>
        <v>1</v>
      </c>
    </row>
    <row r="125" spans="2:23" x14ac:dyDescent="0.3">
      <c r="B125" s="5" t="s">
        <v>303</v>
      </c>
      <c r="C125" s="14">
        <v>46148</v>
      </c>
      <c r="D125" s="31" t="s">
        <v>36</v>
      </c>
      <c r="E125" s="31" t="s">
        <v>37</v>
      </c>
      <c r="F125" s="31" t="s">
        <v>38</v>
      </c>
      <c r="G125" s="31" t="s">
        <v>39</v>
      </c>
      <c r="H125" s="1" t="s">
        <v>26</v>
      </c>
      <c r="I125" s="1" t="s">
        <v>304</v>
      </c>
      <c r="J125" s="31" t="s">
        <v>41</v>
      </c>
      <c r="K125" s="31" t="str">
        <f>_xlfn.XLOOKUP(Clean_Request_Template[[#This Row],[VendorID]],Vendors[VendorID],Vendors[VendorName],"Missing Vendor")</f>
        <v>Missing Vendor</v>
      </c>
      <c r="L125" s="1"/>
      <c r="M125" s="18">
        <v>12000</v>
      </c>
      <c r="N125" s="1" t="s">
        <v>31</v>
      </c>
      <c r="O125" s="3" t="s">
        <v>43</v>
      </c>
      <c r="P125" s="3" t="s">
        <v>44</v>
      </c>
      <c r="Q125" s="14">
        <v>46153</v>
      </c>
      <c r="R125" s="14">
        <v>46149</v>
      </c>
      <c r="S125" s="14">
        <v>46150</v>
      </c>
      <c r="T125" s="3">
        <v>8</v>
      </c>
      <c r="U125" s="3">
        <v>9</v>
      </c>
      <c r="V125" s="1" t="s">
        <v>45</v>
      </c>
      <c r="W125" s="3">
        <f>IF(Clean_Request_Template[[#This Row],[SLA_Met]]="Yes",1,0)</f>
        <v>0</v>
      </c>
    </row>
    <row r="126" spans="2:23" x14ac:dyDescent="0.3">
      <c r="B126" s="5" t="s">
        <v>305</v>
      </c>
      <c r="C126" s="14">
        <v>46149</v>
      </c>
      <c r="D126" s="31" t="s">
        <v>47</v>
      </c>
      <c r="E126" s="31" t="s">
        <v>390</v>
      </c>
      <c r="F126" s="31" t="s">
        <v>49</v>
      </c>
      <c r="G126" s="31" t="s">
        <v>50</v>
      </c>
      <c r="H126" s="1" t="s">
        <v>26</v>
      </c>
      <c r="I126" s="1" t="s">
        <v>306</v>
      </c>
      <c r="J126" s="31" t="s">
        <v>52</v>
      </c>
      <c r="K126" s="31" t="str">
        <f>_xlfn.XLOOKUP(Clean_Request_Template[[#This Row],[VendorID]],Vendors[VendorID],Vendors[VendorName],"Missing Vendor")</f>
        <v>Horizon Travel</v>
      </c>
      <c r="L126" s="1" t="s">
        <v>53</v>
      </c>
      <c r="M126" s="18">
        <v>450</v>
      </c>
      <c r="N126" s="1" t="s">
        <v>31</v>
      </c>
      <c r="O126" s="3" t="s">
        <v>55</v>
      </c>
      <c r="P126" s="3" t="s">
        <v>56</v>
      </c>
      <c r="Q126" s="14">
        <v>46154</v>
      </c>
      <c r="R126" s="14">
        <v>46150</v>
      </c>
      <c r="S126" s="14">
        <v>46151</v>
      </c>
      <c r="T126" s="3">
        <v>10</v>
      </c>
      <c r="U126" s="3">
        <v>7</v>
      </c>
      <c r="V126" s="1" t="s">
        <v>34</v>
      </c>
      <c r="W126" s="3">
        <f>IF(Clean_Request_Template[[#This Row],[SLA_Met]]="Yes",1,0)</f>
        <v>1</v>
      </c>
    </row>
    <row r="127" spans="2:23" x14ac:dyDescent="0.3">
      <c r="B127" s="5" t="s">
        <v>307</v>
      </c>
      <c r="C127" s="14">
        <v>46150</v>
      </c>
      <c r="D127" s="31" t="s">
        <v>58</v>
      </c>
      <c r="E127" s="31" t="s">
        <v>391</v>
      </c>
      <c r="F127" s="31" t="s">
        <v>60</v>
      </c>
      <c r="G127" s="31" t="s">
        <v>61</v>
      </c>
      <c r="H127" s="1" t="s">
        <v>26</v>
      </c>
      <c r="I127" s="1" t="s">
        <v>308</v>
      </c>
      <c r="J127" s="31" t="s">
        <v>28</v>
      </c>
      <c r="K127" s="31" t="str">
        <f>_xlfn.XLOOKUP(Clean_Request_Template[[#This Row],[VendorID]],Vendors[VendorID],Vendors[VendorName],"Missing Vendor")</f>
        <v>Delta Services</v>
      </c>
      <c r="L127" s="1" t="s">
        <v>63</v>
      </c>
      <c r="M127" s="18">
        <v>0</v>
      </c>
      <c r="N127" s="1" t="s">
        <v>31</v>
      </c>
      <c r="O127" s="3" t="s">
        <v>32</v>
      </c>
      <c r="P127" s="3" t="s">
        <v>33</v>
      </c>
      <c r="Q127" s="14">
        <v>46155</v>
      </c>
      <c r="R127" s="14">
        <v>46151</v>
      </c>
      <c r="S127" s="14">
        <v>46152</v>
      </c>
      <c r="T127" s="3">
        <v>3</v>
      </c>
      <c r="U127" s="3">
        <v>2</v>
      </c>
      <c r="V127" s="1" t="s">
        <v>34</v>
      </c>
      <c r="W127" s="3">
        <f>IF(Clean_Request_Template[[#This Row],[SLA_Met]]="Yes",1,0)</f>
        <v>1</v>
      </c>
    </row>
    <row r="128" spans="2:23" x14ac:dyDescent="0.3">
      <c r="B128" s="5" t="s">
        <v>309</v>
      </c>
      <c r="C128" s="14">
        <v>46151</v>
      </c>
      <c r="D128" s="31" t="s">
        <v>22</v>
      </c>
      <c r="E128" s="31" t="s">
        <v>392</v>
      </c>
      <c r="F128" s="31" t="s">
        <v>66</v>
      </c>
      <c r="G128" s="31" t="s">
        <v>67</v>
      </c>
      <c r="H128" s="1" t="s">
        <v>26</v>
      </c>
      <c r="I128" s="1" t="s">
        <v>310</v>
      </c>
      <c r="J128" s="31" t="s">
        <v>41</v>
      </c>
      <c r="K128" s="31" t="str">
        <f>_xlfn.XLOOKUP(Clean_Request_Template[[#This Row],[VendorID]],Vendors[VendorID],Vendors[VendorName],"Missing Vendor")</f>
        <v>Missing Vendor</v>
      </c>
      <c r="L128" s="1"/>
      <c r="M128" s="18">
        <v>8000</v>
      </c>
      <c r="N128" s="1" t="s">
        <v>31</v>
      </c>
      <c r="O128" s="3" t="s">
        <v>32</v>
      </c>
      <c r="P128" s="3" t="s">
        <v>70</v>
      </c>
      <c r="Q128" s="14">
        <v>46156</v>
      </c>
      <c r="R128" s="14">
        <v>46152</v>
      </c>
      <c r="S128" s="14">
        <v>46153</v>
      </c>
      <c r="T128" s="3">
        <v>5</v>
      </c>
      <c r="U128" s="3">
        <v>4</v>
      </c>
      <c r="V128" s="1" t="s">
        <v>34</v>
      </c>
      <c r="W128" s="3">
        <f>IF(Clean_Request_Template[[#This Row],[SLA_Met]]="Yes",1,0)</f>
        <v>1</v>
      </c>
    </row>
    <row r="129" spans="2:23" x14ac:dyDescent="0.3">
      <c r="B129" s="5" t="s">
        <v>311</v>
      </c>
      <c r="C129" s="14">
        <v>46152</v>
      </c>
      <c r="D129" s="31" t="s">
        <v>36</v>
      </c>
      <c r="E129" s="31" t="s">
        <v>23</v>
      </c>
      <c r="F129" s="31" t="s">
        <v>24</v>
      </c>
      <c r="G129" s="31" t="s">
        <v>25</v>
      </c>
      <c r="H129" s="1" t="s">
        <v>26</v>
      </c>
      <c r="I129" s="1" t="s">
        <v>312</v>
      </c>
      <c r="J129" s="31" t="s">
        <v>52</v>
      </c>
      <c r="K129" s="31" t="str">
        <f>_xlfn.XLOOKUP(Clean_Request_Template[[#This Row],[VendorID]],Vendors[VendorID],Vendors[VendorName],"Missing Vendor")</f>
        <v>Alpha Supplies</v>
      </c>
      <c r="L129" s="1" t="s">
        <v>29</v>
      </c>
      <c r="M129" s="18">
        <v>5000</v>
      </c>
      <c r="N129" s="1" t="s">
        <v>31</v>
      </c>
      <c r="O129" s="3" t="s">
        <v>32</v>
      </c>
      <c r="P129" s="3" t="s">
        <v>33</v>
      </c>
      <c r="Q129" s="14">
        <v>46157</v>
      </c>
      <c r="R129" s="14">
        <v>46153</v>
      </c>
      <c r="S129" s="14">
        <v>46154</v>
      </c>
      <c r="T129" s="3">
        <v>5</v>
      </c>
      <c r="U129" s="3">
        <v>3</v>
      </c>
      <c r="V129" s="1" t="s">
        <v>34</v>
      </c>
      <c r="W129" s="3">
        <f>IF(Clean_Request_Template[[#This Row],[SLA_Met]]="Yes",1,0)</f>
        <v>1</v>
      </c>
    </row>
    <row r="130" spans="2:23" x14ac:dyDescent="0.3">
      <c r="B130" s="5" t="s">
        <v>313</v>
      </c>
      <c r="C130" s="14">
        <v>46153</v>
      </c>
      <c r="D130" s="31" t="s">
        <v>47</v>
      </c>
      <c r="E130" s="31" t="s">
        <v>37</v>
      </c>
      <c r="F130" s="31" t="s">
        <v>38</v>
      </c>
      <c r="G130" s="31" t="s">
        <v>39</v>
      </c>
      <c r="H130" s="1" t="s">
        <v>26</v>
      </c>
      <c r="I130" s="1" t="s">
        <v>314</v>
      </c>
      <c r="J130" s="31" t="s">
        <v>28</v>
      </c>
      <c r="K130" s="31" t="str">
        <f>_xlfn.XLOOKUP(Clean_Request_Template[[#This Row],[VendorID]],Vendors[VendorID],Vendors[VendorName],"Missing Vendor")</f>
        <v>Missing Vendor</v>
      </c>
      <c r="L130" s="1"/>
      <c r="M130" s="18">
        <v>12000</v>
      </c>
      <c r="N130" s="1" t="s">
        <v>31</v>
      </c>
      <c r="O130" s="3" t="s">
        <v>43</v>
      </c>
      <c r="P130" s="3" t="s">
        <v>44</v>
      </c>
      <c r="Q130" s="14">
        <v>46158</v>
      </c>
      <c r="R130" s="14">
        <v>46154</v>
      </c>
      <c r="S130" s="14">
        <v>46155</v>
      </c>
      <c r="T130" s="3">
        <v>8</v>
      </c>
      <c r="U130" s="3">
        <v>9</v>
      </c>
      <c r="V130" s="1" t="s">
        <v>45</v>
      </c>
      <c r="W130" s="3">
        <f>IF(Clean_Request_Template[[#This Row],[SLA_Met]]="Yes",1,0)</f>
        <v>0</v>
      </c>
    </row>
    <row r="131" spans="2:23" x14ac:dyDescent="0.3">
      <c r="B131" s="5" t="s">
        <v>315</v>
      </c>
      <c r="C131" s="14">
        <v>46154</v>
      </c>
      <c r="D131" s="31" t="s">
        <v>58</v>
      </c>
      <c r="E131" s="31" t="s">
        <v>390</v>
      </c>
      <c r="F131" s="31" t="s">
        <v>49</v>
      </c>
      <c r="G131" s="31" t="s">
        <v>50</v>
      </c>
      <c r="H131" s="1" t="s">
        <v>26</v>
      </c>
      <c r="I131" s="1" t="s">
        <v>316</v>
      </c>
      <c r="J131" s="31" t="s">
        <v>41</v>
      </c>
      <c r="K131" s="31" t="str">
        <f>_xlfn.XLOOKUP(Clean_Request_Template[[#This Row],[VendorID]],Vendors[VendorID],Vendors[VendorName],"Missing Vendor")</f>
        <v>Horizon Travel</v>
      </c>
      <c r="L131" s="1" t="s">
        <v>53</v>
      </c>
      <c r="M131" s="18">
        <v>450</v>
      </c>
      <c r="N131" s="1" t="s">
        <v>31</v>
      </c>
      <c r="O131" s="3" t="s">
        <v>55</v>
      </c>
      <c r="P131" s="3" t="s">
        <v>56</v>
      </c>
      <c r="Q131" s="14">
        <v>46159</v>
      </c>
      <c r="R131" s="14">
        <v>46155</v>
      </c>
      <c r="S131" s="14">
        <v>46156</v>
      </c>
      <c r="T131" s="3">
        <v>10</v>
      </c>
      <c r="U131" s="3">
        <v>7</v>
      </c>
      <c r="V131" s="1" t="s">
        <v>34</v>
      </c>
      <c r="W131" s="3">
        <f>IF(Clean_Request_Template[[#This Row],[SLA_Met]]="Yes",1,0)</f>
        <v>1</v>
      </c>
    </row>
    <row r="132" spans="2:23" x14ac:dyDescent="0.3">
      <c r="B132" s="5" t="s">
        <v>317</v>
      </c>
      <c r="C132" s="14">
        <v>46155</v>
      </c>
      <c r="D132" s="31" t="s">
        <v>22</v>
      </c>
      <c r="E132" s="31" t="s">
        <v>391</v>
      </c>
      <c r="F132" s="31" t="s">
        <v>60</v>
      </c>
      <c r="G132" s="31" t="s">
        <v>61</v>
      </c>
      <c r="H132" s="1" t="s">
        <v>26</v>
      </c>
      <c r="I132" s="1" t="s">
        <v>318</v>
      </c>
      <c r="J132" s="31" t="s">
        <v>52</v>
      </c>
      <c r="K132" s="31" t="str">
        <f>_xlfn.XLOOKUP(Clean_Request_Template[[#This Row],[VendorID]],Vendors[VendorID],Vendors[VendorName],"Missing Vendor")</f>
        <v>Delta Services</v>
      </c>
      <c r="L132" s="1" t="s">
        <v>63</v>
      </c>
      <c r="M132" s="18">
        <v>0</v>
      </c>
      <c r="N132" s="1" t="s">
        <v>31</v>
      </c>
      <c r="O132" s="3" t="s">
        <v>32</v>
      </c>
      <c r="P132" s="3" t="s">
        <v>33</v>
      </c>
      <c r="Q132" s="14">
        <v>46160</v>
      </c>
      <c r="R132" s="14">
        <v>46156</v>
      </c>
      <c r="S132" s="14">
        <v>46157</v>
      </c>
      <c r="T132" s="3">
        <v>3</v>
      </c>
      <c r="U132" s="3">
        <v>2</v>
      </c>
      <c r="V132" s="1" t="s">
        <v>34</v>
      </c>
      <c r="W132" s="3">
        <f>IF(Clean_Request_Template[[#This Row],[SLA_Met]]="Yes",1,0)</f>
        <v>1</v>
      </c>
    </row>
    <row r="133" spans="2:23" x14ac:dyDescent="0.3">
      <c r="B133" s="5" t="s">
        <v>319</v>
      </c>
      <c r="C133" s="14">
        <v>46156</v>
      </c>
      <c r="D133" s="31" t="s">
        <v>36</v>
      </c>
      <c r="E133" s="31" t="s">
        <v>392</v>
      </c>
      <c r="F133" s="31" t="s">
        <v>66</v>
      </c>
      <c r="G133" s="31" t="s">
        <v>67</v>
      </c>
      <c r="H133" s="1" t="s">
        <v>26</v>
      </c>
      <c r="I133" s="1" t="s">
        <v>320</v>
      </c>
      <c r="J133" s="31" t="s">
        <v>28</v>
      </c>
      <c r="K133" s="31" t="str">
        <f>_xlfn.XLOOKUP(Clean_Request_Template[[#This Row],[VendorID]],Vendors[VendorID],Vendors[VendorName],"Missing Vendor")</f>
        <v>Missing Vendor</v>
      </c>
      <c r="L133" s="1"/>
      <c r="M133" s="18">
        <v>8000</v>
      </c>
      <c r="N133" s="1" t="s">
        <v>31</v>
      </c>
      <c r="O133" s="3" t="s">
        <v>32</v>
      </c>
      <c r="P133" s="3" t="s">
        <v>70</v>
      </c>
      <c r="Q133" s="14">
        <v>46161</v>
      </c>
      <c r="R133" s="14">
        <v>46157</v>
      </c>
      <c r="S133" s="14">
        <v>46158</v>
      </c>
      <c r="T133" s="3">
        <v>5</v>
      </c>
      <c r="U133" s="3">
        <v>4</v>
      </c>
      <c r="V133" s="1" t="s">
        <v>34</v>
      </c>
      <c r="W133" s="3">
        <f>IF(Clean_Request_Template[[#This Row],[SLA_Met]]="Yes",1,0)</f>
        <v>1</v>
      </c>
    </row>
    <row r="134" spans="2:23" x14ac:dyDescent="0.3">
      <c r="B134" s="5" t="s">
        <v>321</v>
      </c>
      <c r="C134" s="14">
        <v>46157</v>
      </c>
      <c r="D134" s="31" t="s">
        <v>47</v>
      </c>
      <c r="E134" s="31" t="s">
        <v>23</v>
      </c>
      <c r="F134" s="31" t="s">
        <v>24</v>
      </c>
      <c r="G134" s="31" t="s">
        <v>25</v>
      </c>
      <c r="H134" s="1" t="s">
        <v>26</v>
      </c>
      <c r="I134" s="1" t="s">
        <v>322</v>
      </c>
      <c r="J134" s="31" t="s">
        <v>41</v>
      </c>
      <c r="K134" s="31" t="str">
        <f>_xlfn.XLOOKUP(Clean_Request_Template[[#This Row],[VendorID]],Vendors[VendorID],Vendors[VendorName],"Missing Vendor")</f>
        <v>Alpha Supplies</v>
      </c>
      <c r="L134" s="1" t="s">
        <v>29</v>
      </c>
      <c r="M134" s="18">
        <v>5000</v>
      </c>
      <c r="N134" s="1" t="s">
        <v>31</v>
      </c>
      <c r="O134" s="3" t="s">
        <v>32</v>
      </c>
      <c r="P134" s="3" t="s">
        <v>33</v>
      </c>
      <c r="Q134" s="14">
        <v>46162</v>
      </c>
      <c r="R134" s="14">
        <v>46158</v>
      </c>
      <c r="S134" s="14">
        <v>46159</v>
      </c>
      <c r="T134" s="3">
        <v>5</v>
      </c>
      <c r="U134" s="3">
        <v>3</v>
      </c>
      <c r="V134" s="1" t="s">
        <v>34</v>
      </c>
      <c r="W134" s="3">
        <f>IF(Clean_Request_Template[[#This Row],[SLA_Met]]="Yes",1,0)</f>
        <v>1</v>
      </c>
    </row>
    <row r="135" spans="2:23" x14ac:dyDescent="0.3">
      <c r="B135" s="5" t="s">
        <v>323</v>
      </c>
      <c r="C135" s="14">
        <v>46158</v>
      </c>
      <c r="D135" s="31" t="s">
        <v>58</v>
      </c>
      <c r="E135" s="31" t="s">
        <v>37</v>
      </c>
      <c r="F135" s="31" t="s">
        <v>38</v>
      </c>
      <c r="G135" s="31" t="s">
        <v>39</v>
      </c>
      <c r="H135" s="1" t="s">
        <v>26</v>
      </c>
      <c r="I135" s="1" t="s">
        <v>324</v>
      </c>
      <c r="J135" s="31" t="s">
        <v>52</v>
      </c>
      <c r="K135" s="31" t="str">
        <f>_xlfn.XLOOKUP(Clean_Request_Template[[#This Row],[VendorID]],Vendors[VendorID],Vendors[VendorName],"Missing Vendor")</f>
        <v>Missing Vendor</v>
      </c>
      <c r="L135" s="1"/>
      <c r="M135" s="18">
        <v>12000</v>
      </c>
      <c r="N135" s="1" t="s">
        <v>31</v>
      </c>
      <c r="O135" s="3" t="s">
        <v>43</v>
      </c>
      <c r="P135" s="3" t="s">
        <v>44</v>
      </c>
      <c r="Q135" s="14">
        <v>46163</v>
      </c>
      <c r="R135" s="14">
        <v>46159</v>
      </c>
      <c r="S135" s="14">
        <v>46160</v>
      </c>
      <c r="T135" s="3">
        <v>8</v>
      </c>
      <c r="U135" s="3">
        <v>9</v>
      </c>
      <c r="V135" s="1" t="s">
        <v>45</v>
      </c>
      <c r="W135" s="3">
        <f>IF(Clean_Request_Template[[#This Row],[SLA_Met]]="Yes",1,0)</f>
        <v>0</v>
      </c>
    </row>
    <row r="136" spans="2:23" x14ac:dyDescent="0.3">
      <c r="B136" s="5" t="s">
        <v>325</v>
      </c>
      <c r="C136" s="14">
        <v>46159</v>
      </c>
      <c r="D136" s="31" t="s">
        <v>22</v>
      </c>
      <c r="E136" s="31" t="s">
        <v>390</v>
      </c>
      <c r="F136" s="31" t="s">
        <v>49</v>
      </c>
      <c r="G136" s="31" t="s">
        <v>50</v>
      </c>
      <c r="H136" s="1" t="s">
        <v>26</v>
      </c>
      <c r="I136" s="1" t="s">
        <v>326</v>
      </c>
      <c r="J136" s="31" t="s">
        <v>28</v>
      </c>
      <c r="K136" s="31" t="str">
        <f>_xlfn.XLOOKUP(Clean_Request_Template[[#This Row],[VendorID]],Vendors[VendorID],Vendors[VendorName],"Missing Vendor")</f>
        <v>Horizon Travel</v>
      </c>
      <c r="L136" s="1" t="s">
        <v>53</v>
      </c>
      <c r="M136" s="18">
        <v>450</v>
      </c>
      <c r="N136" s="1" t="s">
        <v>31</v>
      </c>
      <c r="O136" s="3" t="s">
        <v>55</v>
      </c>
      <c r="P136" s="3" t="s">
        <v>56</v>
      </c>
      <c r="Q136" s="14">
        <v>46164</v>
      </c>
      <c r="R136" s="14">
        <v>46160</v>
      </c>
      <c r="S136" s="14">
        <v>46161</v>
      </c>
      <c r="T136" s="3">
        <v>10</v>
      </c>
      <c r="U136" s="3">
        <v>7</v>
      </c>
      <c r="V136" s="1" t="s">
        <v>34</v>
      </c>
      <c r="W136" s="3">
        <f>IF(Clean_Request_Template[[#This Row],[SLA_Met]]="Yes",1,0)</f>
        <v>1</v>
      </c>
    </row>
    <row r="137" spans="2:23" x14ac:dyDescent="0.3">
      <c r="B137" s="5" t="s">
        <v>327</v>
      </c>
      <c r="C137" s="14">
        <v>46160</v>
      </c>
      <c r="D137" s="31" t="s">
        <v>36</v>
      </c>
      <c r="E137" s="31" t="s">
        <v>391</v>
      </c>
      <c r="F137" s="31" t="s">
        <v>60</v>
      </c>
      <c r="G137" s="31" t="s">
        <v>61</v>
      </c>
      <c r="H137" s="1" t="s">
        <v>26</v>
      </c>
      <c r="I137" s="1" t="s">
        <v>328</v>
      </c>
      <c r="J137" s="31" t="s">
        <v>41</v>
      </c>
      <c r="K137" s="31" t="str">
        <f>_xlfn.XLOOKUP(Clean_Request_Template[[#This Row],[VendorID]],Vendors[VendorID],Vendors[VendorName],"Missing Vendor")</f>
        <v>Delta Services</v>
      </c>
      <c r="L137" s="1" t="s">
        <v>63</v>
      </c>
      <c r="M137" s="18">
        <v>0</v>
      </c>
      <c r="N137" s="1" t="s">
        <v>31</v>
      </c>
      <c r="O137" s="3" t="s">
        <v>32</v>
      </c>
      <c r="P137" s="3" t="s">
        <v>33</v>
      </c>
      <c r="Q137" s="14">
        <v>46165</v>
      </c>
      <c r="R137" s="14">
        <v>46161</v>
      </c>
      <c r="S137" s="14">
        <v>46162</v>
      </c>
      <c r="T137" s="3">
        <v>3</v>
      </c>
      <c r="U137" s="3">
        <v>2</v>
      </c>
      <c r="V137" s="1" t="s">
        <v>34</v>
      </c>
      <c r="W137" s="3">
        <f>IF(Clean_Request_Template[[#This Row],[SLA_Met]]="Yes",1,0)</f>
        <v>1</v>
      </c>
    </row>
    <row r="138" spans="2:23" x14ac:dyDescent="0.3">
      <c r="B138" s="5" t="s">
        <v>329</v>
      </c>
      <c r="C138" s="14">
        <v>46161</v>
      </c>
      <c r="D138" s="31" t="s">
        <v>47</v>
      </c>
      <c r="E138" s="31" t="s">
        <v>392</v>
      </c>
      <c r="F138" s="31" t="s">
        <v>66</v>
      </c>
      <c r="G138" s="31" t="s">
        <v>67</v>
      </c>
      <c r="H138" s="1" t="s">
        <v>26</v>
      </c>
      <c r="I138" s="1" t="s">
        <v>330</v>
      </c>
      <c r="J138" s="31" t="s">
        <v>52</v>
      </c>
      <c r="K138" s="31" t="str">
        <f>_xlfn.XLOOKUP(Clean_Request_Template[[#This Row],[VendorID]],Vendors[VendorID],Vendors[VendorName],"Missing Vendor")</f>
        <v>Missing Vendor</v>
      </c>
      <c r="L138" s="1"/>
      <c r="M138" s="18">
        <v>8000</v>
      </c>
      <c r="N138" s="1" t="s">
        <v>31</v>
      </c>
      <c r="O138" s="3" t="s">
        <v>32</v>
      </c>
      <c r="P138" s="3" t="s">
        <v>70</v>
      </c>
      <c r="Q138" s="14">
        <v>46166</v>
      </c>
      <c r="R138" s="14">
        <v>46162</v>
      </c>
      <c r="S138" s="14">
        <v>46163</v>
      </c>
      <c r="T138" s="3">
        <v>5</v>
      </c>
      <c r="U138" s="3">
        <v>4</v>
      </c>
      <c r="V138" s="1" t="s">
        <v>34</v>
      </c>
      <c r="W138" s="3">
        <f>IF(Clean_Request_Template[[#This Row],[SLA_Met]]="Yes",1,0)</f>
        <v>1</v>
      </c>
    </row>
    <row r="139" spans="2:23" x14ac:dyDescent="0.3">
      <c r="B139" s="5" t="s">
        <v>331</v>
      </c>
      <c r="C139" s="14">
        <v>46162</v>
      </c>
      <c r="D139" s="31" t="s">
        <v>58</v>
      </c>
      <c r="E139" s="31" t="s">
        <v>23</v>
      </c>
      <c r="F139" s="31" t="s">
        <v>24</v>
      </c>
      <c r="G139" s="31" t="s">
        <v>25</v>
      </c>
      <c r="H139" s="1" t="s">
        <v>26</v>
      </c>
      <c r="I139" s="1" t="s">
        <v>332</v>
      </c>
      <c r="J139" s="31" t="s">
        <v>28</v>
      </c>
      <c r="K139" s="31" t="str">
        <f>_xlfn.XLOOKUP(Clean_Request_Template[[#This Row],[VendorID]],Vendors[VendorID],Vendors[VendorName],"Missing Vendor")</f>
        <v>Alpha Supplies</v>
      </c>
      <c r="L139" s="1" t="s">
        <v>29</v>
      </c>
      <c r="M139" s="18">
        <v>5000</v>
      </c>
      <c r="N139" s="1" t="s">
        <v>31</v>
      </c>
      <c r="O139" s="3" t="s">
        <v>32</v>
      </c>
      <c r="P139" s="3" t="s">
        <v>33</v>
      </c>
      <c r="Q139" s="14">
        <v>46167</v>
      </c>
      <c r="R139" s="14">
        <v>46163</v>
      </c>
      <c r="S139" s="14">
        <v>46164</v>
      </c>
      <c r="T139" s="3">
        <v>5</v>
      </c>
      <c r="U139" s="3">
        <v>3</v>
      </c>
      <c r="V139" s="1" t="s">
        <v>34</v>
      </c>
      <c r="W139" s="3">
        <f>IF(Clean_Request_Template[[#This Row],[SLA_Met]]="Yes",1,0)</f>
        <v>1</v>
      </c>
    </row>
    <row r="140" spans="2:23" x14ac:dyDescent="0.3">
      <c r="B140" s="5" t="s">
        <v>333</v>
      </c>
      <c r="C140" s="14">
        <v>46163</v>
      </c>
      <c r="D140" s="31" t="s">
        <v>22</v>
      </c>
      <c r="E140" s="31" t="s">
        <v>37</v>
      </c>
      <c r="F140" s="31" t="s">
        <v>38</v>
      </c>
      <c r="G140" s="31" t="s">
        <v>39</v>
      </c>
      <c r="H140" s="1" t="s">
        <v>26</v>
      </c>
      <c r="I140" s="1" t="s">
        <v>334</v>
      </c>
      <c r="J140" s="31" t="s">
        <v>41</v>
      </c>
      <c r="K140" s="31" t="str">
        <f>_xlfn.XLOOKUP(Clean_Request_Template[[#This Row],[VendorID]],Vendors[VendorID],Vendors[VendorName],"Missing Vendor")</f>
        <v>Missing Vendor</v>
      </c>
      <c r="L140" s="1"/>
      <c r="M140" s="18">
        <v>12000</v>
      </c>
      <c r="N140" s="1" t="s">
        <v>31</v>
      </c>
      <c r="O140" s="3" t="s">
        <v>43</v>
      </c>
      <c r="P140" s="3" t="s">
        <v>44</v>
      </c>
      <c r="Q140" s="14">
        <v>46168</v>
      </c>
      <c r="R140" s="14">
        <v>46164</v>
      </c>
      <c r="S140" s="14">
        <v>46165</v>
      </c>
      <c r="T140" s="3">
        <v>8</v>
      </c>
      <c r="U140" s="3">
        <v>9</v>
      </c>
      <c r="V140" s="1" t="s">
        <v>45</v>
      </c>
      <c r="W140" s="3">
        <f>IF(Clean_Request_Template[[#This Row],[SLA_Met]]="Yes",1,0)</f>
        <v>0</v>
      </c>
    </row>
    <row r="141" spans="2:23" x14ac:dyDescent="0.3">
      <c r="B141" s="5" t="s">
        <v>335</v>
      </c>
      <c r="C141" s="14">
        <v>46164</v>
      </c>
      <c r="D141" s="31" t="s">
        <v>36</v>
      </c>
      <c r="E141" s="31" t="s">
        <v>390</v>
      </c>
      <c r="F141" s="31" t="s">
        <v>49</v>
      </c>
      <c r="G141" s="31" t="s">
        <v>50</v>
      </c>
      <c r="H141" s="1" t="s">
        <v>26</v>
      </c>
      <c r="I141" s="1" t="s">
        <v>336</v>
      </c>
      <c r="J141" s="31" t="s">
        <v>52</v>
      </c>
      <c r="K141" s="31" t="str">
        <f>_xlfn.XLOOKUP(Clean_Request_Template[[#This Row],[VendorID]],Vendors[VendorID],Vendors[VendorName],"Missing Vendor")</f>
        <v>Horizon Travel</v>
      </c>
      <c r="L141" s="1" t="s">
        <v>53</v>
      </c>
      <c r="M141" s="18">
        <v>450</v>
      </c>
      <c r="N141" s="1" t="s">
        <v>31</v>
      </c>
      <c r="O141" s="3" t="s">
        <v>55</v>
      </c>
      <c r="P141" s="3" t="s">
        <v>56</v>
      </c>
      <c r="Q141" s="14">
        <v>46169</v>
      </c>
      <c r="R141" s="14">
        <v>46165</v>
      </c>
      <c r="S141" s="14">
        <v>46166</v>
      </c>
      <c r="T141" s="3">
        <v>10</v>
      </c>
      <c r="U141" s="3">
        <v>7</v>
      </c>
      <c r="V141" s="1" t="s">
        <v>34</v>
      </c>
      <c r="W141" s="3">
        <f>IF(Clean_Request_Template[[#This Row],[SLA_Met]]="Yes",1,0)</f>
        <v>1</v>
      </c>
    </row>
    <row r="142" spans="2:23" x14ac:dyDescent="0.3">
      <c r="B142" s="5" t="s">
        <v>337</v>
      </c>
      <c r="C142" s="14">
        <v>46165</v>
      </c>
      <c r="D142" s="31" t="s">
        <v>47</v>
      </c>
      <c r="E142" s="31" t="s">
        <v>391</v>
      </c>
      <c r="F142" s="31" t="s">
        <v>60</v>
      </c>
      <c r="G142" s="31" t="s">
        <v>61</v>
      </c>
      <c r="H142" s="1" t="s">
        <v>26</v>
      </c>
      <c r="I142" s="1" t="s">
        <v>338</v>
      </c>
      <c r="J142" s="31" t="s">
        <v>28</v>
      </c>
      <c r="K142" s="31" t="str">
        <f>_xlfn.XLOOKUP(Clean_Request_Template[[#This Row],[VendorID]],Vendors[VendorID],Vendors[VendorName],"Missing Vendor")</f>
        <v>Delta Services</v>
      </c>
      <c r="L142" s="1" t="s">
        <v>63</v>
      </c>
      <c r="M142" s="18">
        <v>0</v>
      </c>
      <c r="N142" s="1" t="s">
        <v>31</v>
      </c>
      <c r="O142" s="3" t="s">
        <v>32</v>
      </c>
      <c r="P142" s="3" t="s">
        <v>33</v>
      </c>
      <c r="Q142" s="14">
        <v>46170</v>
      </c>
      <c r="R142" s="14">
        <v>46166</v>
      </c>
      <c r="S142" s="14">
        <v>46167</v>
      </c>
      <c r="T142" s="3">
        <v>3</v>
      </c>
      <c r="U142" s="3">
        <v>2</v>
      </c>
      <c r="V142" s="1" t="s">
        <v>34</v>
      </c>
      <c r="W142" s="3">
        <f>IF(Clean_Request_Template[[#This Row],[SLA_Met]]="Yes",1,0)</f>
        <v>1</v>
      </c>
    </row>
    <row r="143" spans="2:23" x14ac:dyDescent="0.3">
      <c r="B143" s="5" t="s">
        <v>339</v>
      </c>
      <c r="C143" s="14">
        <v>46166</v>
      </c>
      <c r="D143" s="31" t="s">
        <v>58</v>
      </c>
      <c r="E143" s="31" t="s">
        <v>392</v>
      </c>
      <c r="F143" s="31" t="s">
        <v>66</v>
      </c>
      <c r="G143" s="31" t="s">
        <v>67</v>
      </c>
      <c r="H143" s="1" t="s">
        <v>26</v>
      </c>
      <c r="I143" s="1" t="s">
        <v>340</v>
      </c>
      <c r="J143" s="31" t="s">
        <v>41</v>
      </c>
      <c r="K143" s="31" t="str">
        <f>_xlfn.XLOOKUP(Clean_Request_Template[[#This Row],[VendorID]],Vendors[VendorID],Vendors[VendorName],"Missing Vendor")</f>
        <v>Missing Vendor</v>
      </c>
      <c r="L143" s="1"/>
      <c r="M143" s="18">
        <v>8000</v>
      </c>
      <c r="N143" s="1" t="s">
        <v>31</v>
      </c>
      <c r="O143" s="3" t="s">
        <v>32</v>
      </c>
      <c r="P143" s="3" t="s">
        <v>70</v>
      </c>
      <c r="Q143" s="14">
        <v>46171</v>
      </c>
      <c r="R143" s="14">
        <v>46167</v>
      </c>
      <c r="S143" s="14">
        <v>46168</v>
      </c>
      <c r="T143" s="3">
        <v>5</v>
      </c>
      <c r="U143" s="3">
        <v>4</v>
      </c>
      <c r="V143" s="1" t="s">
        <v>34</v>
      </c>
      <c r="W143" s="3">
        <f>IF(Clean_Request_Template[[#This Row],[SLA_Met]]="Yes",1,0)</f>
        <v>1</v>
      </c>
    </row>
    <row r="144" spans="2:23" x14ac:dyDescent="0.3">
      <c r="B144" s="5" t="s">
        <v>341</v>
      </c>
      <c r="C144" s="14">
        <v>46167</v>
      </c>
      <c r="D144" s="31" t="s">
        <v>22</v>
      </c>
      <c r="E144" s="31" t="s">
        <v>23</v>
      </c>
      <c r="F144" s="31" t="s">
        <v>24</v>
      </c>
      <c r="G144" s="31" t="s">
        <v>25</v>
      </c>
      <c r="H144" s="1" t="s">
        <v>26</v>
      </c>
      <c r="I144" s="1" t="s">
        <v>342</v>
      </c>
      <c r="J144" s="31" t="s">
        <v>52</v>
      </c>
      <c r="K144" s="31" t="str">
        <f>_xlfn.XLOOKUP(Clean_Request_Template[[#This Row],[VendorID]],Vendors[VendorID],Vendors[VendorName],"Missing Vendor")</f>
        <v>Alpha Supplies</v>
      </c>
      <c r="L144" s="1" t="s">
        <v>29</v>
      </c>
      <c r="M144" s="18">
        <v>5000</v>
      </c>
      <c r="N144" s="1" t="s">
        <v>31</v>
      </c>
      <c r="O144" s="3" t="s">
        <v>32</v>
      </c>
      <c r="P144" s="3" t="s">
        <v>33</v>
      </c>
      <c r="Q144" s="14">
        <v>46172</v>
      </c>
      <c r="R144" s="14">
        <v>46168</v>
      </c>
      <c r="S144" s="14">
        <v>46169</v>
      </c>
      <c r="T144" s="3">
        <v>5</v>
      </c>
      <c r="U144" s="3">
        <v>3</v>
      </c>
      <c r="V144" s="1" t="s">
        <v>34</v>
      </c>
      <c r="W144" s="3">
        <f>IF(Clean_Request_Template[[#This Row],[SLA_Met]]="Yes",1,0)</f>
        <v>1</v>
      </c>
    </row>
    <row r="145" spans="2:23" x14ac:dyDescent="0.3">
      <c r="B145" s="5" t="s">
        <v>343</v>
      </c>
      <c r="C145" s="14">
        <v>46168</v>
      </c>
      <c r="D145" s="31" t="s">
        <v>36</v>
      </c>
      <c r="E145" s="31" t="s">
        <v>37</v>
      </c>
      <c r="F145" s="31" t="s">
        <v>38</v>
      </c>
      <c r="G145" s="31" t="s">
        <v>39</v>
      </c>
      <c r="H145" s="1" t="s">
        <v>26</v>
      </c>
      <c r="I145" s="1" t="s">
        <v>344</v>
      </c>
      <c r="J145" s="31" t="s">
        <v>28</v>
      </c>
      <c r="K145" s="31" t="str">
        <f>_xlfn.XLOOKUP(Clean_Request_Template[[#This Row],[VendorID]],Vendors[VendorID],Vendors[VendorName],"Missing Vendor")</f>
        <v>Missing Vendor</v>
      </c>
      <c r="L145" s="1"/>
      <c r="M145" s="18">
        <v>12000</v>
      </c>
      <c r="N145" s="1" t="s">
        <v>31</v>
      </c>
      <c r="O145" s="3" t="s">
        <v>43</v>
      </c>
      <c r="P145" s="3" t="s">
        <v>44</v>
      </c>
      <c r="Q145" s="14">
        <v>46173</v>
      </c>
      <c r="R145" s="14">
        <v>46169</v>
      </c>
      <c r="S145" s="14">
        <v>46170</v>
      </c>
      <c r="T145" s="3">
        <v>8</v>
      </c>
      <c r="U145" s="3">
        <v>9</v>
      </c>
      <c r="V145" s="1" t="s">
        <v>45</v>
      </c>
      <c r="W145" s="3">
        <f>IF(Clean_Request_Template[[#This Row],[SLA_Met]]="Yes",1,0)</f>
        <v>0</v>
      </c>
    </row>
    <row r="146" spans="2:23" x14ac:dyDescent="0.3">
      <c r="B146" s="5" t="s">
        <v>345</v>
      </c>
      <c r="C146" s="14">
        <v>46169</v>
      </c>
      <c r="D146" s="31" t="s">
        <v>47</v>
      </c>
      <c r="E146" s="31" t="s">
        <v>390</v>
      </c>
      <c r="F146" s="31" t="s">
        <v>49</v>
      </c>
      <c r="G146" s="31" t="s">
        <v>50</v>
      </c>
      <c r="H146" s="1" t="s">
        <v>26</v>
      </c>
      <c r="I146" s="1" t="s">
        <v>346</v>
      </c>
      <c r="J146" s="31" t="s">
        <v>41</v>
      </c>
      <c r="K146" s="31" t="str">
        <f>_xlfn.XLOOKUP(Clean_Request_Template[[#This Row],[VendorID]],Vendors[VendorID],Vendors[VendorName],"Missing Vendor")</f>
        <v>Horizon Travel</v>
      </c>
      <c r="L146" s="1" t="s">
        <v>53</v>
      </c>
      <c r="M146" s="18">
        <v>450</v>
      </c>
      <c r="N146" s="1" t="s">
        <v>31</v>
      </c>
      <c r="O146" s="3" t="s">
        <v>55</v>
      </c>
      <c r="P146" s="3" t="s">
        <v>56</v>
      </c>
      <c r="Q146" s="14">
        <v>46174</v>
      </c>
      <c r="R146" s="14">
        <v>46170</v>
      </c>
      <c r="S146" s="14">
        <v>46171</v>
      </c>
      <c r="T146" s="3">
        <v>10</v>
      </c>
      <c r="U146" s="3">
        <v>7</v>
      </c>
      <c r="V146" s="1" t="s">
        <v>34</v>
      </c>
      <c r="W146" s="3">
        <f>IF(Clean_Request_Template[[#This Row],[SLA_Met]]="Yes",1,0)</f>
        <v>1</v>
      </c>
    </row>
    <row r="147" spans="2:23" x14ac:dyDescent="0.3">
      <c r="B147" s="5" t="s">
        <v>347</v>
      </c>
      <c r="C147" s="14">
        <v>46170</v>
      </c>
      <c r="D147" s="31" t="s">
        <v>58</v>
      </c>
      <c r="E147" s="31" t="s">
        <v>391</v>
      </c>
      <c r="F147" s="31" t="s">
        <v>60</v>
      </c>
      <c r="G147" s="31" t="s">
        <v>61</v>
      </c>
      <c r="H147" s="1" t="s">
        <v>26</v>
      </c>
      <c r="I147" s="1" t="s">
        <v>348</v>
      </c>
      <c r="J147" s="31" t="s">
        <v>52</v>
      </c>
      <c r="K147" s="31" t="str">
        <f>_xlfn.XLOOKUP(Clean_Request_Template[[#This Row],[VendorID]],Vendors[VendorID],Vendors[VendorName],"Missing Vendor")</f>
        <v>Delta Services</v>
      </c>
      <c r="L147" s="1" t="s">
        <v>63</v>
      </c>
      <c r="M147" s="18">
        <v>0</v>
      </c>
      <c r="N147" s="1" t="s">
        <v>31</v>
      </c>
      <c r="O147" s="3" t="s">
        <v>32</v>
      </c>
      <c r="P147" s="3" t="s">
        <v>33</v>
      </c>
      <c r="Q147" s="14">
        <v>46175</v>
      </c>
      <c r="R147" s="14">
        <v>46171</v>
      </c>
      <c r="S147" s="14">
        <v>46172</v>
      </c>
      <c r="T147" s="3">
        <v>3</v>
      </c>
      <c r="U147" s="3">
        <v>2</v>
      </c>
      <c r="V147" s="1" t="s">
        <v>34</v>
      </c>
      <c r="W147" s="3">
        <f>IF(Clean_Request_Template[[#This Row],[SLA_Met]]="Yes",1,0)</f>
        <v>1</v>
      </c>
    </row>
    <row r="148" spans="2:23" x14ac:dyDescent="0.3">
      <c r="B148" s="5" t="s">
        <v>349</v>
      </c>
      <c r="C148" s="14">
        <v>46171</v>
      </c>
      <c r="D148" s="31" t="s">
        <v>22</v>
      </c>
      <c r="E148" s="31" t="s">
        <v>392</v>
      </c>
      <c r="F148" s="31" t="s">
        <v>66</v>
      </c>
      <c r="G148" s="31" t="s">
        <v>67</v>
      </c>
      <c r="H148" s="1" t="s">
        <v>26</v>
      </c>
      <c r="I148" s="1" t="s">
        <v>350</v>
      </c>
      <c r="J148" s="31" t="s">
        <v>28</v>
      </c>
      <c r="K148" s="31" t="str">
        <f>_xlfn.XLOOKUP(Clean_Request_Template[[#This Row],[VendorID]],Vendors[VendorID],Vendors[VendorName],"Missing Vendor")</f>
        <v>Missing Vendor</v>
      </c>
      <c r="L148" s="1"/>
      <c r="M148" s="18">
        <v>8000</v>
      </c>
      <c r="N148" s="1" t="s">
        <v>31</v>
      </c>
      <c r="O148" s="3" t="s">
        <v>32</v>
      </c>
      <c r="P148" s="3" t="s">
        <v>70</v>
      </c>
      <c r="Q148" s="14">
        <v>46176</v>
      </c>
      <c r="R148" s="14">
        <v>46172</v>
      </c>
      <c r="S148" s="14">
        <v>46173</v>
      </c>
      <c r="T148" s="3">
        <v>5</v>
      </c>
      <c r="U148" s="3">
        <v>4</v>
      </c>
      <c r="V148" s="1" t="s">
        <v>34</v>
      </c>
      <c r="W148" s="3">
        <f>IF(Clean_Request_Template[[#This Row],[SLA_Met]]="Yes",1,0)</f>
        <v>1</v>
      </c>
    </row>
    <row r="149" spans="2:23" x14ac:dyDescent="0.3">
      <c r="B149" s="5" t="s">
        <v>351</v>
      </c>
      <c r="C149" s="14">
        <v>46172</v>
      </c>
      <c r="D149" s="31" t="s">
        <v>36</v>
      </c>
      <c r="E149" s="31" t="s">
        <v>23</v>
      </c>
      <c r="F149" s="31" t="s">
        <v>24</v>
      </c>
      <c r="G149" s="31" t="s">
        <v>25</v>
      </c>
      <c r="H149" s="1" t="s">
        <v>26</v>
      </c>
      <c r="I149" s="1" t="s">
        <v>352</v>
      </c>
      <c r="J149" s="31" t="s">
        <v>41</v>
      </c>
      <c r="K149" s="31" t="str">
        <f>_xlfn.XLOOKUP(Clean_Request_Template[[#This Row],[VendorID]],Vendors[VendorID],Vendors[VendorName],"Missing Vendor")</f>
        <v>Alpha Supplies</v>
      </c>
      <c r="L149" s="1" t="s">
        <v>29</v>
      </c>
      <c r="M149" s="18">
        <v>5000</v>
      </c>
      <c r="N149" s="1" t="s">
        <v>31</v>
      </c>
      <c r="O149" s="3" t="s">
        <v>32</v>
      </c>
      <c r="P149" s="3" t="s">
        <v>33</v>
      </c>
      <c r="Q149" s="14">
        <v>46177</v>
      </c>
      <c r="R149" s="14">
        <v>46173</v>
      </c>
      <c r="S149" s="14">
        <v>46174</v>
      </c>
      <c r="T149" s="3">
        <v>5</v>
      </c>
      <c r="U149" s="3">
        <v>3</v>
      </c>
      <c r="V149" s="1" t="s">
        <v>34</v>
      </c>
      <c r="W149" s="3">
        <f>IF(Clean_Request_Template[[#This Row],[SLA_Met]]="Yes",1,0)</f>
        <v>1</v>
      </c>
    </row>
    <row r="150" spans="2:23" x14ac:dyDescent="0.3">
      <c r="B150" s="5" t="s">
        <v>353</v>
      </c>
      <c r="C150" s="14">
        <v>46173</v>
      </c>
      <c r="D150" s="31" t="s">
        <v>47</v>
      </c>
      <c r="E150" s="31" t="s">
        <v>37</v>
      </c>
      <c r="F150" s="31" t="s">
        <v>38</v>
      </c>
      <c r="G150" s="31" t="s">
        <v>39</v>
      </c>
      <c r="H150" s="1" t="s">
        <v>26</v>
      </c>
      <c r="I150" s="1" t="s">
        <v>354</v>
      </c>
      <c r="J150" s="31" t="s">
        <v>52</v>
      </c>
      <c r="K150" s="31" t="str">
        <f>_xlfn.XLOOKUP(Clean_Request_Template[[#This Row],[VendorID]],Vendors[VendorID],Vendors[VendorName],"Missing Vendor")</f>
        <v>Missing Vendor</v>
      </c>
      <c r="L150" s="1"/>
      <c r="M150" s="18">
        <v>12000</v>
      </c>
      <c r="N150" s="1" t="s">
        <v>31</v>
      </c>
      <c r="O150" s="3" t="s">
        <v>43</v>
      </c>
      <c r="P150" s="3" t="s">
        <v>44</v>
      </c>
      <c r="Q150" s="14">
        <v>46178</v>
      </c>
      <c r="R150" s="14">
        <v>46174</v>
      </c>
      <c r="S150" s="14">
        <v>46175</v>
      </c>
      <c r="T150" s="3">
        <v>8</v>
      </c>
      <c r="U150" s="3">
        <v>9</v>
      </c>
      <c r="V150" s="1" t="s">
        <v>45</v>
      </c>
      <c r="W150" s="3">
        <f>IF(Clean_Request_Template[[#This Row],[SLA_Met]]="Yes",1,0)</f>
        <v>0</v>
      </c>
    </row>
    <row r="151" spans="2:23" x14ac:dyDescent="0.3">
      <c r="B151" s="5" t="s">
        <v>355</v>
      </c>
      <c r="C151" s="14">
        <v>46174</v>
      </c>
      <c r="D151" s="31" t="s">
        <v>58</v>
      </c>
      <c r="E151" s="31" t="s">
        <v>390</v>
      </c>
      <c r="F151" s="31" t="s">
        <v>49</v>
      </c>
      <c r="G151" s="31" t="s">
        <v>50</v>
      </c>
      <c r="H151" s="1" t="s">
        <v>26</v>
      </c>
      <c r="I151" s="1" t="s">
        <v>356</v>
      </c>
      <c r="J151" s="31" t="s">
        <v>28</v>
      </c>
      <c r="K151" s="31" t="str">
        <f>_xlfn.XLOOKUP(Clean_Request_Template[[#This Row],[VendorID]],Vendors[VendorID],Vendors[VendorName],"Missing Vendor")</f>
        <v>Horizon Travel</v>
      </c>
      <c r="L151" s="1" t="s">
        <v>53</v>
      </c>
      <c r="M151" s="18">
        <v>450</v>
      </c>
      <c r="N151" s="1" t="s">
        <v>31</v>
      </c>
      <c r="O151" s="3" t="s">
        <v>55</v>
      </c>
      <c r="P151" s="3" t="s">
        <v>56</v>
      </c>
      <c r="Q151" s="14">
        <v>46179</v>
      </c>
      <c r="R151" s="14">
        <v>46175</v>
      </c>
      <c r="S151" s="14">
        <v>46176</v>
      </c>
      <c r="T151" s="3">
        <v>10</v>
      </c>
      <c r="U151" s="3">
        <v>7</v>
      </c>
      <c r="V151" s="1" t="s">
        <v>34</v>
      </c>
      <c r="W151" s="3">
        <f>IF(Clean_Request_Template[[#This Row],[SLA_Met]]="Yes",1,0)</f>
        <v>1</v>
      </c>
    </row>
    <row r="152" spans="2:23" x14ac:dyDescent="0.3">
      <c r="B152" s="5" t="s">
        <v>357</v>
      </c>
      <c r="C152" s="14">
        <v>46175</v>
      </c>
      <c r="D152" s="31" t="s">
        <v>22</v>
      </c>
      <c r="E152" s="31" t="s">
        <v>391</v>
      </c>
      <c r="F152" s="31" t="s">
        <v>60</v>
      </c>
      <c r="G152" s="31" t="s">
        <v>61</v>
      </c>
      <c r="H152" s="1" t="s">
        <v>26</v>
      </c>
      <c r="I152" s="1" t="s">
        <v>358</v>
      </c>
      <c r="J152" s="31" t="s">
        <v>41</v>
      </c>
      <c r="K152" s="31" t="str">
        <f>_xlfn.XLOOKUP(Clean_Request_Template[[#This Row],[VendorID]],Vendors[VendorID],Vendors[VendorName],"Missing Vendor")</f>
        <v>Delta Services</v>
      </c>
      <c r="L152" s="1" t="s">
        <v>63</v>
      </c>
      <c r="M152" s="18">
        <v>0</v>
      </c>
      <c r="N152" s="1" t="s">
        <v>31</v>
      </c>
      <c r="O152" s="3" t="s">
        <v>32</v>
      </c>
      <c r="P152" s="3" t="s">
        <v>33</v>
      </c>
      <c r="Q152" s="14">
        <v>46180</v>
      </c>
      <c r="R152" s="14">
        <v>46176</v>
      </c>
      <c r="S152" s="14">
        <v>46177</v>
      </c>
      <c r="T152" s="3">
        <v>3</v>
      </c>
      <c r="U152" s="3">
        <v>2</v>
      </c>
      <c r="V152" s="1" t="s">
        <v>34</v>
      </c>
      <c r="W152" s="3">
        <f>IF(Clean_Request_Template[[#This Row],[SLA_Met]]="Yes",1,0)</f>
        <v>1</v>
      </c>
    </row>
    <row r="153" spans="2:23" x14ac:dyDescent="0.3">
      <c r="B153" s="10" t="s">
        <v>359</v>
      </c>
      <c r="C153" s="15">
        <v>46176</v>
      </c>
      <c r="D153" s="32" t="s">
        <v>36</v>
      </c>
      <c r="E153" s="32" t="s">
        <v>392</v>
      </c>
      <c r="F153" s="32" t="s">
        <v>66</v>
      </c>
      <c r="G153" s="32" t="s">
        <v>67</v>
      </c>
      <c r="H153" s="11" t="s">
        <v>26</v>
      </c>
      <c r="I153" s="11" t="s">
        <v>360</v>
      </c>
      <c r="J153" s="32" t="s">
        <v>52</v>
      </c>
      <c r="K153" s="32" t="str">
        <f>_xlfn.XLOOKUP(Clean_Request_Template[[#This Row],[VendorID]],Vendors[VendorID],Vendors[VendorName],"Missing Vendor")</f>
        <v>Missing Vendor</v>
      </c>
      <c r="L153" s="11"/>
      <c r="M153" s="19">
        <v>8000</v>
      </c>
      <c r="N153" s="11" t="s">
        <v>31</v>
      </c>
      <c r="O153" s="23" t="s">
        <v>32</v>
      </c>
      <c r="P153" s="23" t="s">
        <v>70</v>
      </c>
      <c r="Q153" s="15">
        <v>46181</v>
      </c>
      <c r="R153" s="15">
        <v>46177</v>
      </c>
      <c r="S153" s="15">
        <v>46178</v>
      </c>
      <c r="T153" s="23">
        <v>5</v>
      </c>
      <c r="U153" s="23">
        <v>4</v>
      </c>
      <c r="V153" s="11" t="s">
        <v>34</v>
      </c>
      <c r="W153" s="23">
        <f>IF(Clean_Request_Template[[#This Row],[SLA_Met]]="Yes",1,0)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3404-289F-4E2D-A584-FD0DD1790E62}">
  <dimension ref="K4:T13"/>
  <sheetViews>
    <sheetView showGridLines="0" workbookViewId="0">
      <selection activeCell="AQ16" sqref="AQ16"/>
    </sheetView>
  </sheetViews>
  <sheetFormatPr defaultRowHeight="14.4" x14ac:dyDescent="0.3"/>
  <cols>
    <col min="13" max="13" width="37.5546875" bestFit="1" customWidth="1"/>
    <col min="14" max="14" width="12.109375" bestFit="1" customWidth="1"/>
    <col min="16" max="16" width="13.5546875" bestFit="1" customWidth="1"/>
    <col min="17" max="19" width="8" bestFit="1" customWidth="1"/>
    <col min="20" max="20" width="9.44140625" bestFit="1" customWidth="1"/>
  </cols>
  <sheetData>
    <row r="4" spans="11:20" x14ac:dyDescent="0.3">
      <c r="M4" s="38" t="s">
        <v>398</v>
      </c>
      <c r="N4" s="39"/>
      <c r="P4" s="40" t="s">
        <v>400</v>
      </c>
      <c r="Q4" s="41"/>
      <c r="R4" s="41"/>
      <c r="S4" s="41"/>
      <c r="T4" s="41"/>
    </row>
    <row r="5" spans="11:20" x14ac:dyDescent="0.3">
      <c r="M5" s="1" t="s">
        <v>395</v>
      </c>
      <c r="N5" s="1">
        <f>COUNTA(Clean_Request_Template[RequestID])</f>
        <v>150</v>
      </c>
      <c r="P5" s="27" t="s">
        <v>386</v>
      </c>
    </row>
    <row r="6" spans="11:20" x14ac:dyDescent="0.3">
      <c r="M6" s="1" t="s">
        <v>396</v>
      </c>
      <c r="N6" s="1">
        <f>COUNTIFS(Clean_Requests_Template!P4:P153, "&lt;&gt;Completed", Clean_Requests_Template!P4:P153, "&lt;&gt;Rejected", Clean_Requests_Template!P4:P153, "&lt;&gt;")</f>
        <v>90</v>
      </c>
      <c r="Q6" t="s">
        <v>47</v>
      </c>
      <c r="R6" t="s">
        <v>22</v>
      </c>
      <c r="S6" t="s">
        <v>36</v>
      </c>
      <c r="T6" t="s">
        <v>58</v>
      </c>
    </row>
    <row r="7" spans="11:20" x14ac:dyDescent="0.3">
      <c r="M7" s="1" t="s">
        <v>397</v>
      </c>
      <c r="N7" s="37" cm="1">
        <f t="array" ref="N7">SUM(SUMIFS(Clean_Requests_Template!M:M, Clean_Requests_Template!F:F, {"Procurement","Facilities","Travel/Visa"}))</f>
        <v>523500</v>
      </c>
      <c r="P7" s="28" t="s">
        <v>60</v>
      </c>
      <c r="Q7" s="29">
        <v>1</v>
      </c>
      <c r="R7" s="29">
        <v>1</v>
      </c>
      <c r="S7" s="29">
        <v>1</v>
      </c>
      <c r="T7" s="29">
        <v>1</v>
      </c>
    </row>
    <row r="8" spans="11:20" x14ac:dyDescent="0.3">
      <c r="M8" s="1" t="s">
        <v>399</v>
      </c>
      <c r="N8" s="35">
        <f>COUNTIF(Clean_Requests_Template!V4:V153, "Yes") / COUNTA(Clean_Requests_Template!V4:V153)</f>
        <v>0.8</v>
      </c>
      <c r="P8" s="28" t="s">
        <v>38</v>
      </c>
      <c r="Q8" s="29">
        <v>0</v>
      </c>
      <c r="R8" s="29">
        <v>0</v>
      </c>
      <c r="S8" s="29">
        <v>0</v>
      </c>
      <c r="T8" s="29">
        <v>0</v>
      </c>
    </row>
    <row r="9" spans="11:20" x14ac:dyDescent="0.3">
      <c r="P9" s="28" t="s">
        <v>24</v>
      </c>
      <c r="Q9" s="29">
        <v>1</v>
      </c>
      <c r="R9" s="29">
        <v>1</v>
      </c>
      <c r="S9" s="29">
        <v>1</v>
      </c>
      <c r="T9" s="29">
        <v>1</v>
      </c>
    </row>
    <row r="10" spans="11:20" x14ac:dyDescent="0.3">
      <c r="P10" s="28" t="s">
        <v>66</v>
      </c>
      <c r="Q10" s="29">
        <v>1</v>
      </c>
      <c r="R10" s="29">
        <v>1</v>
      </c>
      <c r="S10" s="29">
        <v>1</v>
      </c>
      <c r="T10" s="29">
        <v>1</v>
      </c>
    </row>
    <row r="11" spans="11:20" x14ac:dyDescent="0.3">
      <c r="P11" s="28" t="s">
        <v>49</v>
      </c>
      <c r="Q11" s="29">
        <v>1</v>
      </c>
      <c r="R11" s="29">
        <v>1</v>
      </c>
      <c r="S11" s="29">
        <v>1</v>
      </c>
      <c r="T11" s="29">
        <v>1</v>
      </c>
    </row>
    <row r="13" spans="11:20" x14ac:dyDescent="0.3">
      <c r="K13" s="34"/>
    </row>
  </sheetData>
  <mergeCells count="2">
    <mergeCell ref="M4:N4"/>
    <mergeCell ref="P4:T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8"/>
  <sheetViews>
    <sheetView showGridLines="0" workbookViewId="0">
      <selection activeCell="F23" sqref="F23"/>
    </sheetView>
  </sheetViews>
  <sheetFormatPr defaultRowHeight="14.4" x14ac:dyDescent="0.3"/>
  <cols>
    <col min="1" max="1" width="2.6640625" customWidth="1"/>
    <col min="2" max="2" width="14.6640625" bestFit="1" customWidth="1"/>
    <col min="3" max="3" width="22" bestFit="1" customWidth="1"/>
    <col min="4" max="4" width="17.33203125" customWidth="1"/>
  </cols>
  <sheetData>
    <row r="3" spans="2:4" x14ac:dyDescent="0.3">
      <c r="B3" s="7" t="s">
        <v>4</v>
      </c>
      <c r="C3" s="8" t="s">
        <v>5</v>
      </c>
      <c r="D3" s="9" t="s">
        <v>17</v>
      </c>
    </row>
    <row r="4" spans="2:4" x14ac:dyDescent="0.3">
      <c r="B4" s="5" t="s">
        <v>24</v>
      </c>
      <c r="C4" s="1" t="s">
        <v>25</v>
      </c>
      <c r="D4" s="21">
        <v>5</v>
      </c>
    </row>
    <row r="5" spans="2:4" x14ac:dyDescent="0.3">
      <c r="B5" s="5" t="s">
        <v>38</v>
      </c>
      <c r="C5" s="1" t="s">
        <v>39</v>
      </c>
      <c r="D5" s="21">
        <v>8</v>
      </c>
    </row>
    <row r="6" spans="2:4" x14ac:dyDescent="0.3">
      <c r="B6" s="5" t="s">
        <v>49</v>
      </c>
      <c r="C6" s="1" t="s">
        <v>50</v>
      </c>
      <c r="D6" s="21">
        <v>10</v>
      </c>
    </row>
    <row r="7" spans="2:4" x14ac:dyDescent="0.3">
      <c r="B7" s="5" t="s">
        <v>60</v>
      </c>
      <c r="C7" s="1" t="s">
        <v>61</v>
      </c>
      <c r="D7" s="21">
        <v>3</v>
      </c>
    </row>
    <row r="8" spans="2:4" x14ac:dyDescent="0.3">
      <c r="B8" s="10" t="s">
        <v>66</v>
      </c>
      <c r="C8" s="11" t="s">
        <v>67</v>
      </c>
      <c r="D8" s="22">
        <v>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8"/>
  <sheetViews>
    <sheetView showGridLines="0" workbookViewId="0">
      <selection activeCell="I25" sqref="I25"/>
    </sheetView>
  </sheetViews>
  <sheetFormatPr defaultRowHeight="14.4" x14ac:dyDescent="0.3"/>
  <cols>
    <col min="1" max="1" width="2.6640625" customWidth="1"/>
    <col min="2" max="2" width="16.88671875" bestFit="1" customWidth="1"/>
    <col min="3" max="3" width="12.88671875" customWidth="1"/>
    <col min="4" max="4" width="9.77734375" customWidth="1"/>
  </cols>
  <sheetData>
    <row r="3" spans="2:4" x14ac:dyDescent="0.3">
      <c r="B3" s="7" t="s">
        <v>13</v>
      </c>
      <c r="C3" s="8" t="s">
        <v>361</v>
      </c>
      <c r="D3" s="9" t="s">
        <v>362</v>
      </c>
    </row>
    <row r="4" spans="2:4" x14ac:dyDescent="0.3">
      <c r="B4" s="5" t="s">
        <v>56</v>
      </c>
      <c r="C4" s="3">
        <v>1</v>
      </c>
      <c r="D4" s="6" t="s">
        <v>45</v>
      </c>
    </row>
    <row r="5" spans="2:4" x14ac:dyDescent="0.3">
      <c r="B5" s="5" t="s">
        <v>44</v>
      </c>
      <c r="C5" s="3">
        <v>2</v>
      </c>
      <c r="D5" s="6" t="s">
        <v>45</v>
      </c>
    </row>
    <row r="6" spans="2:4" x14ac:dyDescent="0.3">
      <c r="B6" s="5" t="s">
        <v>70</v>
      </c>
      <c r="C6" s="3">
        <v>3</v>
      </c>
      <c r="D6" s="6" t="s">
        <v>45</v>
      </c>
    </row>
    <row r="7" spans="2:4" x14ac:dyDescent="0.3">
      <c r="B7" s="5" t="s">
        <v>33</v>
      </c>
      <c r="C7" s="3">
        <v>4</v>
      </c>
      <c r="D7" s="6" t="s">
        <v>34</v>
      </c>
    </row>
    <row r="8" spans="2:4" x14ac:dyDescent="0.3">
      <c r="B8" s="10" t="s">
        <v>363</v>
      </c>
      <c r="C8" s="23">
        <v>5</v>
      </c>
      <c r="D8" s="12" t="s">
        <v>34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184"/>
  <sheetViews>
    <sheetView showGridLines="0" workbookViewId="0">
      <selection activeCell="C16" sqref="C16"/>
    </sheetView>
  </sheetViews>
  <sheetFormatPr defaultRowHeight="14.4" x14ac:dyDescent="0.3"/>
  <cols>
    <col min="1" max="1" width="2.6640625" customWidth="1"/>
    <col min="2" max="2" width="18.33203125" style="16" bestFit="1" customWidth="1"/>
    <col min="3" max="3" width="11.21875" bestFit="1" customWidth="1"/>
    <col min="4" max="4" width="9.109375" bestFit="1" customWidth="1"/>
  </cols>
  <sheetData>
    <row r="3" spans="2:4" x14ac:dyDescent="0.3">
      <c r="B3" s="25" t="s">
        <v>364</v>
      </c>
      <c r="C3" s="8" t="s">
        <v>365</v>
      </c>
      <c r="D3" s="9" t="s">
        <v>366</v>
      </c>
    </row>
    <row r="4" spans="2:4" x14ac:dyDescent="0.3">
      <c r="B4" s="24">
        <v>46023</v>
      </c>
      <c r="C4" s="1" t="s">
        <v>367</v>
      </c>
      <c r="D4" s="6">
        <v>2026</v>
      </c>
    </row>
    <row r="5" spans="2:4" x14ac:dyDescent="0.3">
      <c r="B5" s="24">
        <v>46024</v>
      </c>
      <c r="C5" s="1" t="s">
        <v>367</v>
      </c>
      <c r="D5" s="6">
        <v>2026</v>
      </c>
    </row>
    <row r="6" spans="2:4" x14ac:dyDescent="0.3">
      <c r="B6" s="24">
        <v>46025</v>
      </c>
      <c r="C6" s="1" t="s">
        <v>367</v>
      </c>
      <c r="D6" s="6">
        <v>2026</v>
      </c>
    </row>
    <row r="7" spans="2:4" x14ac:dyDescent="0.3">
      <c r="B7" s="24">
        <v>46026</v>
      </c>
      <c r="C7" s="1" t="s">
        <v>367</v>
      </c>
      <c r="D7" s="6">
        <v>2026</v>
      </c>
    </row>
    <row r="8" spans="2:4" x14ac:dyDescent="0.3">
      <c r="B8" s="24">
        <v>46027</v>
      </c>
      <c r="C8" s="1" t="s">
        <v>367</v>
      </c>
      <c r="D8" s="6">
        <v>2026</v>
      </c>
    </row>
    <row r="9" spans="2:4" x14ac:dyDescent="0.3">
      <c r="B9" s="24">
        <v>46028</v>
      </c>
      <c r="C9" s="1" t="s">
        <v>367</v>
      </c>
      <c r="D9" s="6">
        <v>2026</v>
      </c>
    </row>
    <row r="10" spans="2:4" x14ac:dyDescent="0.3">
      <c r="B10" s="24">
        <v>46029</v>
      </c>
      <c r="C10" s="1" t="s">
        <v>367</v>
      </c>
      <c r="D10" s="6">
        <v>2026</v>
      </c>
    </row>
    <row r="11" spans="2:4" x14ac:dyDescent="0.3">
      <c r="B11" s="24">
        <v>46030</v>
      </c>
      <c r="C11" s="1" t="s">
        <v>367</v>
      </c>
      <c r="D11" s="6">
        <v>2026</v>
      </c>
    </row>
    <row r="12" spans="2:4" x14ac:dyDescent="0.3">
      <c r="B12" s="24">
        <v>46031</v>
      </c>
      <c r="C12" s="1" t="s">
        <v>367</v>
      </c>
      <c r="D12" s="6">
        <v>2026</v>
      </c>
    </row>
    <row r="13" spans="2:4" x14ac:dyDescent="0.3">
      <c r="B13" s="24">
        <v>46032</v>
      </c>
      <c r="C13" s="1" t="s">
        <v>367</v>
      </c>
      <c r="D13" s="6">
        <v>2026</v>
      </c>
    </row>
    <row r="14" spans="2:4" x14ac:dyDescent="0.3">
      <c r="B14" s="24">
        <v>46033</v>
      </c>
      <c r="C14" s="1" t="s">
        <v>367</v>
      </c>
      <c r="D14" s="6">
        <v>2026</v>
      </c>
    </row>
    <row r="15" spans="2:4" x14ac:dyDescent="0.3">
      <c r="B15" s="24">
        <v>46034</v>
      </c>
      <c r="C15" s="1" t="s">
        <v>367</v>
      </c>
      <c r="D15" s="6">
        <v>2026</v>
      </c>
    </row>
    <row r="16" spans="2:4" x14ac:dyDescent="0.3">
      <c r="B16" s="24">
        <v>46035</v>
      </c>
      <c r="C16" s="1" t="s">
        <v>367</v>
      </c>
      <c r="D16" s="6">
        <v>2026</v>
      </c>
    </row>
    <row r="17" spans="2:4" x14ac:dyDescent="0.3">
      <c r="B17" s="24">
        <v>46036</v>
      </c>
      <c r="C17" s="1" t="s">
        <v>367</v>
      </c>
      <c r="D17" s="6">
        <v>2026</v>
      </c>
    </row>
    <row r="18" spans="2:4" x14ac:dyDescent="0.3">
      <c r="B18" s="24">
        <v>46037</v>
      </c>
      <c r="C18" s="1" t="s">
        <v>367</v>
      </c>
      <c r="D18" s="6">
        <v>2026</v>
      </c>
    </row>
    <row r="19" spans="2:4" x14ac:dyDescent="0.3">
      <c r="B19" s="24">
        <v>46038</v>
      </c>
      <c r="C19" s="1" t="s">
        <v>367</v>
      </c>
      <c r="D19" s="6">
        <v>2026</v>
      </c>
    </row>
    <row r="20" spans="2:4" x14ac:dyDescent="0.3">
      <c r="B20" s="24">
        <v>46039</v>
      </c>
      <c r="C20" s="1" t="s">
        <v>367</v>
      </c>
      <c r="D20" s="6">
        <v>2026</v>
      </c>
    </row>
    <row r="21" spans="2:4" x14ac:dyDescent="0.3">
      <c r="B21" s="24">
        <v>46040</v>
      </c>
      <c r="C21" s="1" t="s">
        <v>367</v>
      </c>
      <c r="D21" s="6">
        <v>2026</v>
      </c>
    </row>
    <row r="22" spans="2:4" x14ac:dyDescent="0.3">
      <c r="B22" s="24">
        <v>46041</v>
      </c>
      <c r="C22" s="1" t="s">
        <v>367</v>
      </c>
      <c r="D22" s="6">
        <v>2026</v>
      </c>
    </row>
    <row r="23" spans="2:4" x14ac:dyDescent="0.3">
      <c r="B23" s="24">
        <v>46042</v>
      </c>
      <c r="C23" s="1" t="s">
        <v>367</v>
      </c>
      <c r="D23" s="6">
        <v>2026</v>
      </c>
    </row>
    <row r="24" spans="2:4" x14ac:dyDescent="0.3">
      <c r="B24" s="24">
        <v>46043</v>
      </c>
      <c r="C24" s="1" t="s">
        <v>367</v>
      </c>
      <c r="D24" s="6">
        <v>2026</v>
      </c>
    </row>
    <row r="25" spans="2:4" x14ac:dyDescent="0.3">
      <c r="B25" s="24">
        <v>46044</v>
      </c>
      <c r="C25" s="1" t="s">
        <v>367</v>
      </c>
      <c r="D25" s="6">
        <v>2026</v>
      </c>
    </row>
    <row r="26" spans="2:4" x14ac:dyDescent="0.3">
      <c r="B26" s="24">
        <v>46045</v>
      </c>
      <c r="C26" s="1" t="s">
        <v>367</v>
      </c>
      <c r="D26" s="6">
        <v>2026</v>
      </c>
    </row>
    <row r="27" spans="2:4" x14ac:dyDescent="0.3">
      <c r="B27" s="24">
        <v>46046</v>
      </c>
      <c r="C27" s="1" t="s">
        <v>367</v>
      </c>
      <c r="D27" s="6">
        <v>2026</v>
      </c>
    </row>
    <row r="28" spans="2:4" x14ac:dyDescent="0.3">
      <c r="B28" s="24">
        <v>46047</v>
      </c>
      <c r="C28" s="1" t="s">
        <v>367</v>
      </c>
      <c r="D28" s="6">
        <v>2026</v>
      </c>
    </row>
    <row r="29" spans="2:4" x14ac:dyDescent="0.3">
      <c r="B29" s="24">
        <v>46048</v>
      </c>
      <c r="C29" s="1" t="s">
        <v>367</v>
      </c>
      <c r="D29" s="6">
        <v>2026</v>
      </c>
    </row>
    <row r="30" spans="2:4" x14ac:dyDescent="0.3">
      <c r="B30" s="24">
        <v>46049</v>
      </c>
      <c r="C30" s="1" t="s">
        <v>367</v>
      </c>
      <c r="D30" s="6">
        <v>2026</v>
      </c>
    </row>
    <row r="31" spans="2:4" x14ac:dyDescent="0.3">
      <c r="B31" s="24">
        <v>46050</v>
      </c>
      <c r="C31" s="1" t="s">
        <v>367</v>
      </c>
      <c r="D31" s="6">
        <v>2026</v>
      </c>
    </row>
    <row r="32" spans="2:4" x14ac:dyDescent="0.3">
      <c r="B32" s="24">
        <v>46051</v>
      </c>
      <c r="C32" s="1" t="s">
        <v>367</v>
      </c>
      <c r="D32" s="6">
        <v>2026</v>
      </c>
    </row>
    <row r="33" spans="2:4" x14ac:dyDescent="0.3">
      <c r="B33" s="24">
        <v>46052</v>
      </c>
      <c r="C33" s="1" t="s">
        <v>367</v>
      </c>
      <c r="D33" s="6">
        <v>2026</v>
      </c>
    </row>
    <row r="34" spans="2:4" x14ac:dyDescent="0.3">
      <c r="B34" s="24">
        <v>46053</v>
      </c>
      <c r="C34" s="1" t="s">
        <v>367</v>
      </c>
      <c r="D34" s="6">
        <v>2026</v>
      </c>
    </row>
    <row r="35" spans="2:4" x14ac:dyDescent="0.3">
      <c r="B35" s="24">
        <v>46054</v>
      </c>
      <c r="C35" s="1" t="s">
        <v>368</v>
      </c>
      <c r="D35" s="6">
        <v>2026</v>
      </c>
    </row>
    <row r="36" spans="2:4" x14ac:dyDescent="0.3">
      <c r="B36" s="24">
        <v>46055</v>
      </c>
      <c r="C36" s="1" t="s">
        <v>368</v>
      </c>
      <c r="D36" s="6">
        <v>2026</v>
      </c>
    </row>
    <row r="37" spans="2:4" x14ac:dyDescent="0.3">
      <c r="B37" s="24">
        <v>46056</v>
      </c>
      <c r="C37" s="1" t="s">
        <v>368</v>
      </c>
      <c r="D37" s="6">
        <v>2026</v>
      </c>
    </row>
    <row r="38" spans="2:4" x14ac:dyDescent="0.3">
      <c r="B38" s="24">
        <v>46057</v>
      </c>
      <c r="C38" s="1" t="s">
        <v>368</v>
      </c>
      <c r="D38" s="6">
        <v>2026</v>
      </c>
    </row>
    <row r="39" spans="2:4" x14ac:dyDescent="0.3">
      <c r="B39" s="24">
        <v>46058</v>
      </c>
      <c r="C39" s="1" t="s">
        <v>368</v>
      </c>
      <c r="D39" s="6">
        <v>2026</v>
      </c>
    </row>
    <row r="40" spans="2:4" x14ac:dyDescent="0.3">
      <c r="B40" s="24">
        <v>46059</v>
      </c>
      <c r="C40" s="1" t="s">
        <v>368</v>
      </c>
      <c r="D40" s="6">
        <v>2026</v>
      </c>
    </row>
    <row r="41" spans="2:4" x14ac:dyDescent="0.3">
      <c r="B41" s="24">
        <v>46060</v>
      </c>
      <c r="C41" s="1" t="s">
        <v>368</v>
      </c>
      <c r="D41" s="6">
        <v>2026</v>
      </c>
    </row>
    <row r="42" spans="2:4" x14ac:dyDescent="0.3">
      <c r="B42" s="24">
        <v>46061</v>
      </c>
      <c r="C42" s="1" t="s">
        <v>368</v>
      </c>
      <c r="D42" s="6">
        <v>2026</v>
      </c>
    </row>
    <row r="43" spans="2:4" x14ac:dyDescent="0.3">
      <c r="B43" s="24">
        <v>46062</v>
      </c>
      <c r="C43" s="1" t="s">
        <v>368</v>
      </c>
      <c r="D43" s="6">
        <v>2026</v>
      </c>
    </row>
    <row r="44" spans="2:4" x14ac:dyDescent="0.3">
      <c r="B44" s="24">
        <v>46063</v>
      </c>
      <c r="C44" s="1" t="s">
        <v>368</v>
      </c>
      <c r="D44" s="6">
        <v>2026</v>
      </c>
    </row>
    <row r="45" spans="2:4" x14ac:dyDescent="0.3">
      <c r="B45" s="24">
        <v>46064</v>
      </c>
      <c r="C45" s="1" t="s">
        <v>368</v>
      </c>
      <c r="D45" s="6">
        <v>2026</v>
      </c>
    </row>
    <row r="46" spans="2:4" x14ac:dyDescent="0.3">
      <c r="B46" s="24">
        <v>46065</v>
      </c>
      <c r="C46" s="1" t="s">
        <v>368</v>
      </c>
      <c r="D46" s="6">
        <v>2026</v>
      </c>
    </row>
    <row r="47" spans="2:4" x14ac:dyDescent="0.3">
      <c r="B47" s="24">
        <v>46066</v>
      </c>
      <c r="C47" s="1" t="s">
        <v>368</v>
      </c>
      <c r="D47" s="6">
        <v>2026</v>
      </c>
    </row>
    <row r="48" spans="2:4" x14ac:dyDescent="0.3">
      <c r="B48" s="24">
        <v>46067</v>
      </c>
      <c r="C48" s="1" t="s">
        <v>368</v>
      </c>
      <c r="D48" s="6">
        <v>2026</v>
      </c>
    </row>
    <row r="49" spans="2:4" x14ac:dyDescent="0.3">
      <c r="B49" s="24">
        <v>46068</v>
      </c>
      <c r="C49" s="1" t="s">
        <v>368</v>
      </c>
      <c r="D49" s="6">
        <v>2026</v>
      </c>
    </row>
    <row r="50" spans="2:4" x14ac:dyDescent="0.3">
      <c r="B50" s="24">
        <v>46069</v>
      </c>
      <c r="C50" s="1" t="s">
        <v>368</v>
      </c>
      <c r="D50" s="6">
        <v>2026</v>
      </c>
    </row>
    <row r="51" spans="2:4" x14ac:dyDescent="0.3">
      <c r="B51" s="24">
        <v>46070</v>
      </c>
      <c r="C51" s="1" t="s">
        <v>368</v>
      </c>
      <c r="D51" s="6">
        <v>2026</v>
      </c>
    </row>
    <row r="52" spans="2:4" x14ac:dyDescent="0.3">
      <c r="B52" s="24">
        <v>46071</v>
      </c>
      <c r="C52" s="1" t="s">
        <v>368</v>
      </c>
      <c r="D52" s="6">
        <v>2026</v>
      </c>
    </row>
    <row r="53" spans="2:4" x14ac:dyDescent="0.3">
      <c r="B53" s="24">
        <v>46072</v>
      </c>
      <c r="C53" s="1" t="s">
        <v>368</v>
      </c>
      <c r="D53" s="6">
        <v>2026</v>
      </c>
    </row>
    <row r="54" spans="2:4" x14ac:dyDescent="0.3">
      <c r="B54" s="24">
        <v>46073</v>
      </c>
      <c r="C54" s="1" t="s">
        <v>368</v>
      </c>
      <c r="D54" s="6">
        <v>2026</v>
      </c>
    </row>
    <row r="55" spans="2:4" x14ac:dyDescent="0.3">
      <c r="B55" s="24">
        <v>46074</v>
      </c>
      <c r="C55" s="1" t="s">
        <v>368</v>
      </c>
      <c r="D55" s="6">
        <v>2026</v>
      </c>
    </row>
    <row r="56" spans="2:4" x14ac:dyDescent="0.3">
      <c r="B56" s="24">
        <v>46075</v>
      </c>
      <c r="C56" s="1" t="s">
        <v>368</v>
      </c>
      <c r="D56" s="6">
        <v>2026</v>
      </c>
    </row>
    <row r="57" spans="2:4" x14ac:dyDescent="0.3">
      <c r="B57" s="24">
        <v>46076</v>
      </c>
      <c r="C57" s="1" t="s">
        <v>368</v>
      </c>
      <c r="D57" s="6">
        <v>2026</v>
      </c>
    </row>
    <row r="58" spans="2:4" x14ac:dyDescent="0.3">
      <c r="B58" s="24">
        <v>46077</v>
      </c>
      <c r="C58" s="1" t="s">
        <v>368</v>
      </c>
      <c r="D58" s="6">
        <v>2026</v>
      </c>
    </row>
    <row r="59" spans="2:4" x14ac:dyDescent="0.3">
      <c r="B59" s="24">
        <v>46078</v>
      </c>
      <c r="C59" s="1" t="s">
        <v>368</v>
      </c>
      <c r="D59" s="6">
        <v>2026</v>
      </c>
    </row>
    <row r="60" spans="2:4" x14ac:dyDescent="0.3">
      <c r="B60" s="24">
        <v>46079</v>
      </c>
      <c r="C60" s="1" t="s">
        <v>368</v>
      </c>
      <c r="D60" s="6">
        <v>2026</v>
      </c>
    </row>
    <row r="61" spans="2:4" x14ac:dyDescent="0.3">
      <c r="B61" s="24">
        <v>46080</v>
      </c>
      <c r="C61" s="1" t="s">
        <v>368</v>
      </c>
      <c r="D61" s="6">
        <v>2026</v>
      </c>
    </row>
    <row r="62" spans="2:4" x14ac:dyDescent="0.3">
      <c r="B62" s="24">
        <v>46081</v>
      </c>
      <c r="C62" s="1" t="s">
        <v>368</v>
      </c>
      <c r="D62" s="6">
        <v>2026</v>
      </c>
    </row>
    <row r="63" spans="2:4" x14ac:dyDescent="0.3">
      <c r="B63" s="24">
        <v>46082</v>
      </c>
      <c r="C63" s="1" t="s">
        <v>369</v>
      </c>
      <c r="D63" s="6">
        <v>2026</v>
      </c>
    </row>
    <row r="64" spans="2:4" x14ac:dyDescent="0.3">
      <c r="B64" s="24">
        <v>46083</v>
      </c>
      <c r="C64" s="1" t="s">
        <v>369</v>
      </c>
      <c r="D64" s="6">
        <v>2026</v>
      </c>
    </row>
    <row r="65" spans="2:4" x14ac:dyDescent="0.3">
      <c r="B65" s="24">
        <v>46084</v>
      </c>
      <c r="C65" s="1" t="s">
        <v>369</v>
      </c>
      <c r="D65" s="6">
        <v>2026</v>
      </c>
    </row>
    <row r="66" spans="2:4" x14ac:dyDescent="0.3">
      <c r="B66" s="24">
        <v>46085</v>
      </c>
      <c r="C66" s="1" t="s">
        <v>369</v>
      </c>
      <c r="D66" s="6">
        <v>2026</v>
      </c>
    </row>
    <row r="67" spans="2:4" x14ac:dyDescent="0.3">
      <c r="B67" s="24">
        <v>46086</v>
      </c>
      <c r="C67" s="1" t="s">
        <v>369</v>
      </c>
      <c r="D67" s="6">
        <v>2026</v>
      </c>
    </row>
    <row r="68" spans="2:4" x14ac:dyDescent="0.3">
      <c r="B68" s="24">
        <v>46087</v>
      </c>
      <c r="C68" s="1" t="s">
        <v>369</v>
      </c>
      <c r="D68" s="6">
        <v>2026</v>
      </c>
    </row>
    <row r="69" spans="2:4" x14ac:dyDescent="0.3">
      <c r="B69" s="24">
        <v>46088</v>
      </c>
      <c r="C69" s="1" t="s">
        <v>369</v>
      </c>
      <c r="D69" s="6">
        <v>2026</v>
      </c>
    </row>
    <row r="70" spans="2:4" x14ac:dyDescent="0.3">
      <c r="B70" s="24">
        <v>46089</v>
      </c>
      <c r="C70" s="1" t="s">
        <v>369</v>
      </c>
      <c r="D70" s="6">
        <v>2026</v>
      </c>
    </row>
    <row r="71" spans="2:4" x14ac:dyDescent="0.3">
      <c r="B71" s="24">
        <v>46090</v>
      </c>
      <c r="C71" s="1" t="s">
        <v>369</v>
      </c>
      <c r="D71" s="6">
        <v>2026</v>
      </c>
    </row>
    <row r="72" spans="2:4" x14ac:dyDescent="0.3">
      <c r="B72" s="24">
        <v>46091</v>
      </c>
      <c r="C72" s="1" t="s">
        <v>369</v>
      </c>
      <c r="D72" s="6">
        <v>2026</v>
      </c>
    </row>
    <row r="73" spans="2:4" x14ac:dyDescent="0.3">
      <c r="B73" s="24">
        <v>46092</v>
      </c>
      <c r="C73" s="1" t="s">
        <v>369</v>
      </c>
      <c r="D73" s="6">
        <v>2026</v>
      </c>
    </row>
    <row r="74" spans="2:4" x14ac:dyDescent="0.3">
      <c r="B74" s="24">
        <v>46093</v>
      </c>
      <c r="C74" s="1" t="s">
        <v>369</v>
      </c>
      <c r="D74" s="6">
        <v>2026</v>
      </c>
    </row>
    <row r="75" spans="2:4" x14ac:dyDescent="0.3">
      <c r="B75" s="24">
        <v>46094</v>
      </c>
      <c r="C75" s="1" t="s">
        <v>369</v>
      </c>
      <c r="D75" s="6">
        <v>2026</v>
      </c>
    </row>
    <row r="76" spans="2:4" x14ac:dyDescent="0.3">
      <c r="B76" s="24">
        <v>46095</v>
      </c>
      <c r="C76" s="1" t="s">
        <v>369</v>
      </c>
      <c r="D76" s="6">
        <v>2026</v>
      </c>
    </row>
    <row r="77" spans="2:4" x14ac:dyDescent="0.3">
      <c r="B77" s="24">
        <v>46096</v>
      </c>
      <c r="C77" s="1" t="s">
        <v>369</v>
      </c>
      <c r="D77" s="6">
        <v>2026</v>
      </c>
    </row>
    <row r="78" spans="2:4" x14ac:dyDescent="0.3">
      <c r="B78" s="24">
        <v>46097</v>
      </c>
      <c r="C78" s="1" t="s">
        <v>369</v>
      </c>
      <c r="D78" s="6">
        <v>2026</v>
      </c>
    </row>
    <row r="79" spans="2:4" x14ac:dyDescent="0.3">
      <c r="B79" s="24">
        <v>46098</v>
      </c>
      <c r="C79" s="1" t="s">
        <v>369</v>
      </c>
      <c r="D79" s="6">
        <v>2026</v>
      </c>
    </row>
    <row r="80" spans="2:4" x14ac:dyDescent="0.3">
      <c r="B80" s="24">
        <v>46099</v>
      </c>
      <c r="C80" s="1" t="s">
        <v>369</v>
      </c>
      <c r="D80" s="6">
        <v>2026</v>
      </c>
    </row>
    <row r="81" spans="2:4" x14ac:dyDescent="0.3">
      <c r="B81" s="24">
        <v>46100</v>
      </c>
      <c r="C81" s="1" t="s">
        <v>369</v>
      </c>
      <c r="D81" s="6">
        <v>2026</v>
      </c>
    </row>
    <row r="82" spans="2:4" x14ac:dyDescent="0.3">
      <c r="B82" s="24">
        <v>46101</v>
      </c>
      <c r="C82" s="1" t="s">
        <v>369</v>
      </c>
      <c r="D82" s="6">
        <v>2026</v>
      </c>
    </row>
    <row r="83" spans="2:4" x14ac:dyDescent="0.3">
      <c r="B83" s="24">
        <v>46102</v>
      </c>
      <c r="C83" s="1" t="s">
        <v>369</v>
      </c>
      <c r="D83" s="6">
        <v>2026</v>
      </c>
    </row>
    <row r="84" spans="2:4" x14ac:dyDescent="0.3">
      <c r="B84" s="24">
        <v>46103</v>
      </c>
      <c r="C84" s="1" t="s">
        <v>369</v>
      </c>
      <c r="D84" s="6">
        <v>2026</v>
      </c>
    </row>
    <row r="85" spans="2:4" x14ac:dyDescent="0.3">
      <c r="B85" s="24">
        <v>46104</v>
      </c>
      <c r="C85" s="1" t="s">
        <v>369</v>
      </c>
      <c r="D85" s="6">
        <v>2026</v>
      </c>
    </row>
    <row r="86" spans="2:4" x14ac:dyDescent="0.3">
      <c r="B86" s="24">
        <v>46105</v>
      </c>
      <c r="C86" s="1" t="s">
        <v>369</v>
      </c>
      <c r="D86" s="6">
        <v>2026</v>
      </c>
    </row>
    <row r="87" spans="2:4" x14ac:dyDescent="0.3">
      <c r="B87" s="24">
        <v>46106</v>
      </c>
      <c r="C87" s="1" t="s">
        <v>369</v>
      </c>
      <c r="D87" s="6">
        <v>2026</v>
      </c>
    </row>
    <row r="88" spans="2:4" x14ac:dyDescent="0.3">
      <c r="B88" s="24">
        <v>46107</v>
      </c>
      <c r="C88" s="1" t="s">
        <v>369</v>
      </c>
      <c r="D88" s="6">
        <v>2026</v>
      </c>
    </row>
    <row r="89" spans="2:4" x14ac:dyDescent="0.3">
      <c r="B89" s="24">
        <v>46108</v>
      </c>
      <c r="C89" s="1" t="s">
        <v>369</v>
      </c>
      <c r="D89" s="6">
        <v>2026</v>
      </c>
    </row>
    <row r="90" spans="2:4" x14ac:dyDescent="0.3">
      <c r="B90" s="24">
        <v>46109</v>
      </c>
      <c r="C90" s="1" t="s">
        <v>369</v>
      </c>
      <c r="D90" s="6">
        <v>2026</v>
      </c>
    </row>
    <row r="91" spans="2:4" x14ac:dyDescent="0.3">
      <c r="B91" s="24">
        <v>46110</v>
      </c>
      <c r="C91" s="1" t="s">
        <v>369</v>
      </c>
      <c r="D91" s="6">
        <v>2026</v>
      </c>
    </row>
    <row r="92" spans="2:4" x14ac:dyDescent="0.3">
      <c r="B92" s="24">
        <v>46111</v>
      </c>
      <c r="C92" s="1" t="s">
        <v>369</v>
      </c>
      <c r="D92" s="6">
        <v>2026</v>
      </c>
    </row>
    <row r="93" spans="2:4" x14ac:dyDescent="0.3">
      <c r="B93" s="24">
        <v>46112</v>
      </c>
      <c r="C93" s="1" t="s">
        <v>369</v>
      </c>
      <c r="D93" s="6">
        <v>2026</v>
      </c>
    </row>
    <row r="94" spans="2:4" x14ac:dyDescent="0.3">
      <c r="B94" s="24">
        <v>46113</v>
      </c>
      <c r="C94" s="1" t="s">
        <v>370</v>
      </c>
      <c r="D94" s="6">
        <v>2026</v>
      </c>
    </row>
    <row r="95" spans="2:4" x14ac:dyDescent="0.3">
      <c r="B95" s="24">
        <v>46114</v>
      </c>
      <c r="C95" s="1" t="s">
        <v>370</v>
      </c>
      <c r="D95" s="6">
        <v>2026</v>
      </c>
    </row>
    <row r="96" spans="2:4" x14ac:dyDescent="0.3">
      <c r="B96" s="24">
        <v>46115</v>
      </c>
      <c r="C96" s="1" t="s">
        <v>370</v>
      </c>
      <c r="D96" s="6">
        <v>2026</v>
      </c>
    </row>
    <row r="97" spans="2:4" x14ac:dyDescent="0.3">
      <c r="B97" s="24">
        <v>46116</v>
      </c>
      <c r="C97" s="1" t="s">
        <v>370</v>
      </c>
      <c r="D97" s="6">
        <v>2026</v>
      </c>
    </row>
    <row r="98" spans="2:4" x14ac:dyDescent="0.3">
      <c r="B98" s="24">
        <v>46117</v>
      </c>
      <c r="C98" s="1" t="s">
        <v>370</v>
      </c>
      <c r="D98" s="6">
        <v>2026</v>
      </c>
    </row>
    <row r="99" spans="2:4" x14ac:dyDescent="0.3">
      <c r="B99" s="24">
        <v>46118</v>
      </c>
      <c r="C99" s="1" t="s">
        <v>370</v>
      </c>
      <c r="D99" s="6">
        <v>2026</v>
      </c>
    </row>
    <row r="100" spans="2:4" x14ac:dyDescent="0.3">
      <c r="B100" s="24">
        <v>46119</v>
      </c>
      <c r="C100" s="1" t="s">
        <v>370</v>
      </c>
      <c r="D100" s="6">
        <v>2026</v>
      </c>
    </row>
    <row r="101" spans="2:4" x14ac:dyDescent="0.3">
      <c r="B101" s="24">
        <v>46120</v>
      </c>
      <c r="C101" s="1" t="s">
        <v>370</v>
      </c>
      <c r="D101" s="6">
        <v>2026</v>
      </c>
    </row>
    <row r="102" spans="2:4" x14ac:dyDescent="0.3">
      <c r="B102" s="24">
        <v>46121</v>
      </c>
      <c r="C102" s="1" t="s">
        <v>370</v>
      </c>
      <c r="D102" s="6">
        <v>2026</v>
      </c>
    </row>
    <row r="103" spans="2:4" x14ac:dyDescent="0.3">
      <c r="B103" s="24">
        <v>46122</v>
      </c>
      <c r="C103" s="1" t="s">
        <v>370</v>
      </c>
      <c r="D103" s="6">
        <v>2026</v>
      </c>
    </row>
    <row r="104" spans="2:4" x14ac:dyDescent="0.3">
      <c r="B104" s="24">
        <v>46123</v>
      </c>
      <c r="C104" s="1" t="s">
        <v>370</v>
      </c>
      <c r="D104" s="6">
        <v>2026</v>
      </c>
    </row>
    <row r="105" spans="2:4" x14ac:dyDescent="0.3">
      <c r="B105" s="24">
        <v>46124</v>
      </c>
      <c r="C105" s="1" t="s">
        <v>370</v>
      </c>
      <c r="D105" s="6">
        <v>2026</v>
      </c>
    </row>
    <row r="106" spans="2:4" x14ac:dyDescent="0.3">
      <c r="B106" s="24">
        <v>46125</v>
      </c>
      <c r="C106" s="1" t="s">
        <v>370</v>
      </c>
      <c r="D106" s="6">
        <v>2026</v>
      </c>
    </row>
    <row r="107" spans="2:4" x14ac:dyDescent="0.3">
      <c r="B107" s="24">
        <v>46126</v>
      </c>
      <c r="C107" s="1" t="s">
        <v>370</v>
      </c>
      <c r="D107" s="6">
        <v>2026</v>
      </c>
    </row>
    <row r="108" spans="2:4" x14ac:dyDescent="0.3">
      <c r="B108" s="24">
        <v>46127</v>
      </c>
      <c r="C108" s="1" t="s">
        <v>370</v>
      </c>
      <c r="D108" s="6">
        <v>2026</v>
      </c>
    </row>
    <row r="109" spans="2:4" x14ac:dyDescent="0.3">
      <c r="B109" s="24">
        <v>46128</v>
      </c>
      <c r="C109" s="1" t="s">
        <v>370</v>
      </c>
      <c r="D109" s="6">
        <v>2026</v>
      </c>
    </row>
    <row r="110" spans="2:4" x14ac:dyDescent="0.3">
      <c r="B110" s="24">
        <v>46129</v>
      </c>
      <c r="C110" s="1" t="s">
        <v>370</v>
      </c>
      <c r="D110" s="6">
        <v>2026</v>
      </c>
    </row>
    <row r="111" spans="2:4" x14ac:dyDescent="0.3">
      <c r="B111" s="24">
        <v>46130</v>
      </c>
      <c r="C111" s="1" t="s">
        <v>370</v>
      </c>
      <c r="D111" s="6">
        <v>2026</v>
      </c>
    </row>
    <row r="112" spans="2:4" x14ac:dyDescent="0.3">
      <c r="B112" s="24">
        <v>46131</v>
      </c>
      <c r="C112" s="1" t="s">
        <v>370</v>
      </c>
      <c r="D112" s="6">
        <v>2026</v>
      </c>
    </row>
    <row r="113" spans="2:4" x14ac:dyDescent="0.3">
      <c r="B113" s="24">
        <v>46132</v>
      </c>
      <c r="C113" s="1" t="s">
        <v>370</v>
      </c>
      <c r="D113" s="6">
        <v>2026</v>
      </c>
    </row>
    <row r="114" spans="2:4" x14ac:dyDescent="0.3">
      <c r="B114" s="24">
        <v>46133</v>
      </c>
      <c r="C114" s="1" t="s">
        <v>370</v>
      </c>
      <c r="D114" s="6">
        <v>2026</v>
      </c>
    </row>
    <row r="115" spans="2:4" x14ac:dyDescent="0.3">
      <c r="B115" s="24">
        <v>46134</v>
      </c>
      <c r="C115" s="1" t="s">
        <v>370</v>
      </c>
      <c r="D115" s="6">
        <v>2026</v>
      </c>
    </row>
    <row r="116" spans="2:4" x14ac:dyDescent="0.3">
      <c r="B116" s="24">
        <v>46135</v>
      </c>
      <c r="C116" s="1" t="s">
        <v>370</v>
      </c>
      <c r="D116" s="6">
        <v>2026</v>
      </c>
    </row>
    <row r="117" spans="2:4" x14ac:dyDescent="0.3">
      <c r="B117" s="24">
        <v>46136</v>
      </c>
      <c r="C117" s="1" t="s">
        <v>370</v>
      </c>
      <c r="D117" s="6">
        <v>2026</v>
      </c>
    </row>
    <row r="118" spans="2:4" x14ac:dyDescent="0.3">
      <c r="B118" s="24">
        <v>46137</v>
      </c>
      <c r="C118" s="1" t="s">
        <v>370</v>
      </c>
      <c r="D118" s="6">
        <v>2026</v>
      </c>
    </row>
    <row r="119" spans="2:4" x14ac:dyDescent="0.3">
      <c r="B119" s="24">
        <v>46138</v>
      </c>
      <c r="C119" s="1" t="s">
        <v>370</v>
      </c>
      <c r="D119" s="6">
        <v>2026</v>
      </c>
    </row>
    <row r="120" spans="2:4" x14ac:dyDescent="0.3">
      <c r="B120" s="24">
        <v>46139</v>
      </c>
      <c r="C120" s="1" t="s">
        <v>370</v>
      </c>
      <c r="D120" s="6">
        <v>2026</v>
      </c>
    </row>
    <row r="121" spans="2:4" x14ac:dyDescent="0.3">
      <c r="B121" s="24">
        <v>46140</v>
      </c>
      <c r="C121" s="1" t="s">
        <v>370</v>
      </c>
      <c r="D121" s="6">
        <v>2026</v>
      </c>
    </row>
    <row r="122" spans="2:4" x14ac:dyDescent="0.3">
      <c r="B122" s="24">
        <v>46141</v>
      </c>
      <c r="C122" s="1" t="s">
        <v>370</v>
      </c>
      <c r="D122" s="6">
        <v>2026</v>
      </c>
    </row>
    <row r="123" spans="2:4" x14ac:dyDescent="0.3">
      <c r="B123" s="24">
        <v>46142</v>
      </c>
      <c r="C123" s="1" t="s">
        <v>370</v>
      </c>
      <c r="D123" s="6">
        <v>2026</v>
      </c>
    </row>
    <row r="124" spans="2:4" x14ac:dyDescent="0.3">
      <c r="B124" s="24">
        <v>46143</v>
      </c>
      <c r="C124" s="1" t="s">
        <v>371</v>
      </c>
      <c r="D124" s="6">
        <v>2026</v>
      </c>
    </row>
    <row r="125" spans="2:4" x14ac:dyDescent="0.3">
      <c r="B125" s="24">
        <v>46144</v>
      </c>
      <c r="C125" s="1" t="s">
        <v>371</v>
      </c>
      <c r="D125" s="6">
        <v>2026</v>
      </c>
    </row>
    <row r="126" spans="2:4" x14ac:dyDescent="0.3">
      <c r="B126" s="24">
        <v>46145</v>
      </c>
      <c r="C126" s="1" t="s">
        <v>371</v>
      </c>
      <c r="D126" s="6">
        <v>2026</v>
      </c>
    </row>
    <row r="127" spans="2:4" x14ac:dyDescent="0.3">
      <c r="B127" s="24">
        <v>46146</v>
      </c>
      <c r="C127" s="1" t="s">
        <v>371</v>
      </c>
      <c r="D127" s="6">
        <v>2026</v>
      </c>
    </row>
    <row r="128" spans="2:4" x14ac:dyDescent="0.3">
      <c r="B128" s="24">
        <v>46147</v>
      </c>
      <c r="C128" s="1" t="s">
        <v>371</v>
      </c>
      <c r="D128" s="6">
        <v>2026</v>
      </c>
    </row>
    <row r="129" spans="2:4" x14ac:dyDescent="0.3">
      <c r="B129" s="24">
        <v>46148</v>
      </c>
      <c r="C129" s="1" t="s">
        <v>371</v>
      </c>
      <c r="D129" s="6">
        <v>2026</v>
      </c>
    </row>
    <row r="130" spans="2:4" x14ac:dyDescent="0.3">
      <c r="B130" s="24">
        <v>46149</v>
      </c>
      <c r="C130" s="1" t="s">
        <v>371</v>
      </c>
      <c r="D130" s="6">
        <v>2026</v>
      </c>
    </row>
    <row r="131" spans="2:4" x14ac:dyDescent="0.3">
      <c r="B131" s="24">
        <v>46150</v>
      </c>
      <c r="C131" s="1" t="s">
        <v>371</v>
      </c>
      <c r="D131" s="6">
        <v>2026</v>
      </c>
    </row>
    <row r="132" spans="2:4" x14ac:dyDescent="0.3">
      <c r="B132" s="24">
        <v>46151</v>
      </c>
      <c r="C132" s="1" t="s">
        <v>371</v>
      </c>
      <c r="D132" s="6">
        <v>2026</v>
      </c>
    </row>
    <row r="133" spans="2:4" x14ac:dyDescent="0.3">
      <c r="B133" s="24">
        <v>46152</v>
      </c>
      <c r="C133" s="1" t="s">
        <v>371</v>
      </c>
      <c r="D133" s="6">
        <v>2026</v>
      </c>
    </row>
    <row r="134" spans="2:4" x14ac:dyDescent="0.3">
      <c r="B134" s="24">
        <v>46153</v>
      </c>
      <c r="C134" s="1" t="s">
        <v>371</v>
      </c>
      <c r="D134" s="6">
        <v>2026</v>
      </c>
    </row>
    <row r="135" spans="2:4" x14ac:dyDescent="0.3">
      <c r="B135" s="24">
        <v>46154</v>
      </c>
      <c r="C135" s="1" t="s">
        <v>371</v>
      </c>
      <c r="D135" s="6">
        <v>2026</v>
      </c>
    </row>
    <row r="136" spans="2:4" x14ac:dyDescent="0.3">
      <c r="B136" s="24">
        <v>46155</v>
      </c>
      <c r="C136" s="1" t="s">
        <v>371</v>
      </c>
      <c r="D136" s="6">
        <v>2026</v>
      </c>
    </row>
    <row r="137" spans="2:4" x14ac:dyDescent="0.3">
      <c r="B137" s="24">
        <v>46156</v>
      </c>
      <c r="C137" s="1" t="s">
        <v>371</v>
      </c>
      <c r="D137" s="6">
        <v>2026</v>
      </c>
    </row>
    <row r="138" spans="2:4" x14ac:dyDescent="0.3">
      <c r="B138" s="24">
        <v>46157</v>
      </c>
      <c r="C138" s="1" t="s">
        <v>371</v>
      </c>
      <c r="D138" s="6">
        <v>2026</v>
      </c>
    </row>
    <row r="139" spans="2:4" x14ac:dyDescent="0.3">
      <c r="B139" s="24">
        <v>46158</v>
      </c>
      <c r="C139" s="1" t="s">
        <v>371</v>
      </c>
      <c r="D139" s="6">
        <v>2026</v>
      </c>
    </row>
    <row r="140" spans="2:4" x14ac:dyDescent="0.3">
      <c r="B140" s="24">
        <v>46159</v>
      </c>
      <c r="C140" s="1" t="s">
        <v>371</v>
      </c>
      <c r="D140" s="6">
        <v>2026</v>
      </c>
    </row>
    <row r="141" spans="2:4" x14ac:dyDescent="0.3">
      <c r="B141" s="24">
        <v>46160</v>
      </c>
      <c r="C141" s="1" t="s">
        <v>371</v>
      </c>
      <c r="D141" s="6">
        <v>2026</v>
      </c>
    </row>
    <row r="142" spans="2:4" x14ac:dyDescent="0.3">
      <c r="B142" s="24">
        <v>46161</v>
      </c>
      <c r="C142" s="1" t="s">
        <v>371</v>
      </c>
      <c r="D142" s="6">
        <v>2026</v>
      </c>
    </row>
    <row r="143" spans="2:4" x14ac:dyDescent="0.3">
      <c r="B143" s="24">
        <v>46162</v>
      </c>
      <c r="C143" s="1" t="s">
        <v>371</v>
      </c>
      <c r="D143" s="6">
        <v>2026</v>
      </c>
    </row>
    <row r="144" spans="2:4" x14ac:dyDescent="0.3">
      <c r="B144" s="24">
        <v>46163</v>
      </c>
      <c r="C144" s="1" t="s">
        <v>371</v>
      </c>
      <c r="D144" s="6">
        <v>2026</v>
      </c>
    </row>
    <row r="145" spans="2:4" x14ac:dyDescent="0.3">
      <c r="B145" s="24">
        <v>46164</v>
      </c>
      <c r="C145" s="1" t="s">
        <v>371</v>
      </c>
      <c r="D145" s="6">
        <v>2026</v>
      </c>
    </row>
    <row r="146" spans="2:4" x14ac:dyDescent="0.3">
      <c r="B146" s="24">
        <v>46165</v>
      </c>
      <c r="C146" s="1" t="s">
        <v>371</v>
      </c>
      <c r="D146" s="6">
        <v>2026</v>
      </c>
    </row>
    <row r="147" spans="2:4" x14ac:dyDescent="0.3">
      <c r="B147" s="24">
        <v>46166</v>
      </c>
      <c r="C147" s="1" t="s">
        <v>371</v>
      </c>
      <c r="D147" s="6">
        <v>2026</v>
      </c>
    </row>
    <row r="148" spans="2:4" x14ac:dyDescent="0.3">
      <c r="B148" s="24">
        <v>46167</v>
      </c>
      <c r="C148" s="1" t="s">
        <v>371</v>
      </c>
      <c r="D148" s="6">
        <v>2026</v>
      </c>
    </row>
    <row r="149" spans="2:4" x14ac:dyDescent="0.3">
      <c r="B149" s="24">
        <v>46168</v>
      </c>
      <c r="C149" s="1" t="s">
        <v>371</v>
      </c>
      <c r="D149" s="6">
        <v>2026</v>
      </c>
    </row>
    <row r="150" spans="2:4" x14ac:dyDescent="0.3">
      <c r="B150" s="24">
        <v>46169</v>
      </c>
      <c r="C150" s="1" t="s">
        <v>371</v>
      </c>
      <c r="D150" s="6">
        <v>2026</v>
      </c>
    </row>
    <row r="151" spans="2:4" x14ac:dyDescent="0.3">
      <c r="B151" s="24">
        <v>46170</v>
      </c>
      <c r="C151" s="1" t="s">
        <v>371</v>
      </c>
      <c r="D151" s="6">
        <v>2026</v>
      </c>
    </row>
    <row r="152" spans="2:4" x14ac:dyDescent="0.3">
      <c r="B152" s="24">
        <v>46171</v>
      </c>
      <c r="C152" s="1" t="s">
        <v>371</v>
      </c>
      <c r="D152" s="6">
        <v>2026</v>
      </c>
    </row>
    <row r="153" spans="2:4" x14ac:dyDescent="0.3">
      <c r="B153" s="24">
        <v>46172</v>
      </c>
      <c r="C153" s="1" t="s">
        <v>371</v>
      </c>
      <c r="D153" s="6">
        <v>2026</v>
      </c>
    </row>
    <row r="154" spans="2:4" x14ac:dyDescent="0.3">
      <c r="B154" s="24">
        <v>46173</v>
      </c>
      <c r="C154" s="1" t="s">
        <v>371</v>
      </c>
      <c r="D154" s="6">
        <v>2026</v>
      </c>
    </row>
    <row r="155" spans="2:4" x14ac:dyDescent="0.3">
      <c r="B155" s="24">
        <v>46174</v>
      </c>
      <c r="C155" s="1" t="s">
        <v>372</v>
      </c>
      <c r="D155" s="6">
        <v>2026</v>
      </c>
    </row>
    <row r="156" spans="2:4" x14ac:dyDescent="0.3">
      <c r="B156" s="24">
        <v>46175</v>
      </c>
      <c r="C156" s="1" t="s">
        <v>372</v>
      </c>
      <c r="D156" s="6">
        <v>2026</v>
      </c>
    </row>
    <row r="157" spans="2:4" x14ac:dyDescent="0.3">
      <c r="B157" s="24">
        <v>46176</v>
      </c>
      <c r="C157" s="1" t="s">
        <v>372</v>
      </c>
      <c r="D157" s="6">
        <v>2026</v>
      </c>
    </row>
    <row r="158" spans="2:4" x14ac:dyDescent="0.3">
      <c r="B158" s="24">
        <v>46177</v>
      </c>
      <c r="C158" s="1" t="s">
        <v>372</v>
      </c>
      <c r="D158" s="6">
        <v>2026</v>
      </c>
    </row>
    <row r="159" spans="2:4" x14ac:dyDescent="0.3">
      <c r="B159" s="24">
        <v>46178</v>
      </c>
      <c r="C159" s="1" t="s">
        <v>372</v>
      </c>
      <c r="D159" s="6">
        <v>2026</v>
      </c>
    </row>
    <row r="160" spans="2:4" x14ac:dyDescent="0.3">
      <c r="B160" s="24">
        <v>46179</v>
      </c>
      <c r="C160" s="1" t="s">
        <v>372</v>
      </c>
      <c r="D160" s="6">
        <v>2026</v>
      </c>
    </row>
    <row r="161" spans="2:4" x14ac:dyDescent="0.3">
      <c r="B161" s="24">
        <v>46180</v>
      </c>
      <c r="C161" s="1" t="s">
        <v>372</v>
      </c>
      <c r="D161" s="6">
        <v>2026</v>
      </c>
    </row>
    <row r="162" spans="2:4" x14ac:dyDescent="0.3">
      <c r="B162" s="24">
        <v>46181</v>
      </c>
      <c r="C162" s="1" t="s">
        <v>372</v>
      </c>
      <c r="D162" s="6">
        <v>2026</v>
      </c>
    </row>
    <row r="163" spans="2:4" x14ac:dyDescent="0.3">
      <c r="B163" s="24">
        <v>46182</v>
      </c>
      <c r="C163" s="1" t="s">
        <v>372</v>
      </c>
      <c r="D163" s="6">
        <v>2026</v>
      </c>
    </row>
    <row r="164" spans="2:4" x14ac:dyDescent="0.3">
      <c r="B164" s="24">
        <v>46183</v>
      </c>
      <c r="C164" s="1" t="s">
        <v>372</v>
      </c>
      <c r="D164" s="6">
        <v>2026</v>
      </c>
    </row>
    <row r="165" spans="2:4" x14ac:dyDescent="0.3">
      <c r="B165" s="24">
        <v>46184</v>
      </c>
      <c r="C165" s="1" t="s">
        <v>372</v>
      </c>
      <c r="D165" s="6">
        <v>2026</v>
      </c>
    </row>
    <row r="166" spans="2:4" x14ac:dyDescent="0.3">
      <c r="B166" s="24">
        <v>46185</v>
      </c>
      <c r="C166" s="1" t="s">
        <v>372</v>
      </c>
      <c r="D166" s="6">
        <v>2026</v>
      </c>
    </row>
    <row r="167" spans="2:4" x14ac:dyDescent="0.3">
      <c r="B167" s="24">
        <v>46186</v>
      </c>
      <c r="C167" s="1" t="s">
        <v>372</v>
      </c>
      <c r="D167" s="6">
        <v>2026</v>
      </c>
    </row>
    <row r="168" spans="2:4" x14ac:dyDescent="0.3">
      <c r="B168" s="24">
        <v>46187</v>
      </c>
      <c r="C168" s="1" t="s">
        <v>372</v>
      </c>
      <c r="D168" s="6">
        <v>2026</v>
      </c>
    </row>
    <row r="169" spans="2:4" x14ac:dyDescent="0.3">
      <c r="B169" s="24">
        <v>46188</v>
      </c>
      <c r="C169" s="1" t="s">
        <v>372</v>
      </c>
      <c r="D169" s="6">
        <v>2026</v>
      </c>
    </row>
    <row r="170" spans="2:4" x14ac:dyDescent="0.3">
      <c r="B170" s="24">
        <v>46189</v>
      </c>
      <c r="C170" s="1" t="s">
        <v>372</v>
      </c>
      <c r="D170" s="6">
        <v>2026</v>
      </c>
    </row>
    <row r="171" spans="2:4" x14ac:dyDescent="0.3">
      <c r="B171" s="24">
        <v>46190</v>
      </c>
      <c r="C171" s="1" t="s">
        <v>372</v>
      </c>
      <c r="D171" s="6">
        <v>2026</v>
      </c>
    </row>
    <row r="172" spans="2:4" x14ac:dyDescent="0.3">
      <c r="B172" s="24">
        <v>46191</v>
      </c>
      <c r="C172" s="1" t="s">
        <v>372</v>
      </c>
      <c r="D172" s="6">
        <v>2026</v>
      </c>
    </row>
    <row r="173" spans="2:4" x14ac:dyDescent="0.3">
      <c r="B173" s="24">
        <v>46192</v>
      </c>
      <c r="C173" s="1" t="s">
        <v>372</v>
      </c>
      <c r="D173" s="6">
        <v>2026</v>
      </c>
    </row>
    <row r="174" spans="2:4" x14ac:dyDescent="0.3">
      <c r="B174" s="24">
        <v>46193</v>
      </c>
      <c r="C174" s="1" t="s">
        <v>372</v>
      </c>
      <c r="D174" s="6">
        <v>2026</v>
      </c>
    </row>
    <row r="175" spans="2:4" x14ac:dyDescent="0.3">
      <c r="B175" s="24">
        <v>46194</v>
      </c>
      <c r="C175" s="1" t="s">
        <v>372</v>
      </c>
      <c r="D175" s="6">
        <v>2026</v>
      </c>
    </row>
    <row r="176" spans="2:4" x14ac:dyDescent="0.3">
      <c r="B176" s="24">
        <v>46195</v>
      </c>
      <c r="C176" s="1" t="s">
        <v>372</v>
      </c>
      <c r="D176" s="6">
        <v>2026</v>
      </c>
    </row>
    <row r="177" spans="2:4" x14ac:dyDescent="0.3">
      <c r="B177" s="24">
        <v>46196</v>
      </c>
      <c r="C177" s="1" t="s">
        <v>372</v>
      </c>
      <c r="D177" s="6">
        <v>2026</v>
      </c>
    </row>
    <row r="178" spans="2:4" x14ac:dyDescent="0.3">
      <c r="B178" s="24">
        <v>46197</v>
      </c>
      <c r="C178" s="1" t="s">
        <v>372</v>
      </c>
      <c r="D178" s="6">
        <v>2026</v>
      </c>
    </row>
    <row r="179" spans="2:4" x14ac:dyDescent="0.3">
      <c r="B179" s="24">
        <v>46198</v>
      </c>
      <c r="C179" s="1" t="s">
        <v>372</v>
      </c>
      <c r="D179" s="6">
        <v>2026</v>
      </c>
    </row>
    <row r="180" spans="2:4" x14ac:dyDescent="0.3">
      <c r="B180" s="24">
        <v>46199</v>
      </c>
      <c r="C180" s="1" t="s">
        <v>372</v>
      </c>
      <c r="D180" s="6">
        <v>2026</v>
      </c>
    </row>
    <row r="181" spans="2:4" x14ac:dyDescent="0.3">
      <c r="B181" s="24">
        <v>46200</v>
      </c>
      <c r="C181" s="1" t="s">
        <v>372</v>
      </c>
      <c r="D181" s="6">
        <v>2026</v>
      </c>
    </row>
    <row r="182" spans="2:4" x14ac:dyDescent="0.3">
      <c r="B182" s="24">
        <v>46201</v>
      </c>
      <c r="C182" s="1" t="s">
        <v>372</v>
      </c>
      <c r="D182" s="6">
        <v>2026</v>
      </c>
    </row>
    <row r="183" spans="2:4" x14ac:dyDescent="0.3">
      <c r="B183" s="24">
        <v>46202</v>
      </c>
      <c r="C183" s="1" t="s">
        <v>372</v>
      </c>
      <c r="D183" s="6">
        <v>2026</v>
      </c>
    </row>
    <row r="184" spans="2:4" x14ac:dyDescent="0.3">
      <c r="B184" s="26">
        <v>46203</v>
      </c>
      <c r="C184" s="11" t="s">
        <v>372</v>
      </c>
      <c r="D184" s="12">
        <v>2026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C6"/>
  <sheetViews>
    <sheetView showGridLines="0" workbookViewId="0">
      <selection activeCell="C5" sqref="C5"/>
    </sheetView>
  </sheetViews>
  <sheetFormatPr defaultRowHeight="14.4" x14ac:dyDescent="0.3"/>
  <cols>
    <col min="1" max="1" width="2.6640625" customWidth="1"/>
    <col min="2" max="2" width="13.44140625" bestFit="1" customWidth="1"/>
    <col min="3" max="3" width="16.6640625" bestFit="1" customWidth="1"/>
  </cols>
  <sheetData>
    <row r="3" spans="2:3" x14ac:dyDescent="0.3">
      <c r="B3" s="7" t="s">
        <v>9</v>
      </c>
      <c r="C3" s="9" t="s">
        <v>373</v>
      </c>
    </row>
    <row r="4" spans="2:3" x14ac:dyDescent="0.3">
      <c r="B4" s="5" t="s">
        <v>29</v>
      </c>
      <c r="C4" s="6" t="s">
        <v>374</v>
      </c>
    </row>
    <row r="5" spans="2:3" x14ac:dyDescent="0.3">
      <c r="B5" s="5" t="s">
        <v>63</v>
      </c>
      <c r="C5" s="6" t="s">
        <v>375</v>
      </c>
    </row>
    <row r="6" spans="2:3" x14ac:dyDescent="0.3">
      <c r="B6" s="10" t="s">
        <v>53</v>
      </c>
      <c r="C6" s="12" t="s">
        <v>376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6"/>
  <sheetViews>
    <sheetView showGridLines="0" workbookViewId="0">
      <selection activeCell="F6" sqref="F6"/>
    </sheetView>
  </sheetViews>
  <sheetFormatPr defaultRowHeight="14.4" x14ac:dyDescent="0.3"/>
  <cols>
    <col min="1" max="1" width="2.6640625" customWidth="1"/>
    <col min="2" max="2" width="7.88671875" customWidth="1"/>
    <col min="3" max="3" width="20.77734375" bestFit="1" customWidth="1"/>
    <col min="4" max="4" width="10.109375" customWidth="1"/>
    <col min="6" max="6" width="20.77734375" bestFit="1" customWidth="1"/>
  </cols>
  <sheetData>
    <row r="3" spans="2:4" x14ac:dyDescent="0.3">
      <c r="B3" s="7" t="s">
        <v>377</v>
      </c>
      <c r="C3" s="8" t="s">
        <v>3</v>
      </c>
      <c r="D3" s="9" t="s">
        <v>378</v>
      </c>
    </row>
    <row r="4" spans="2:4" x14ac:dyDescent="0.3">
      <c r="B4" s="5" t="s">
        <v>27</v>
      </c>
      <c r="C4" s="1" t="s">
        <v>23</v>
      </c>
      <c r="D4" s="6" t="s">
        <v>22</v>
      </c>
    </row>
    <row r="5" spans="2:4" x14ac:dyDescent="0.3">
      <c r="B5" s="5" t="s">
        <v>40</v>
      </c>
      <c r="C5" s="1" t="s">
        <v>37</v>
      </c>
      <c r="D5" s="6" t="s">
        <v>36</v>
      </c>
    </row>
    <row r="6" spans="2:4" x14ac:dyDescent="0.3">
      <c r="B6" s="10" t="s">
        <v>51</v>
      </c>
      <c r="C6" s="11" t="s">
        <v>390</v>
      </c>
      <c r="D6" s="12" t="s">
        <v>47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9000-92EE-4997-8BA3-E409D8C03F77}">
  <dimension ref="B3:N31"/>
  <sheetViews>
    <sheetView workbookViewId="0">
      <selection activeCell="L27" sqref="L27"/>
    </sheetView>
  </sheetViews>
  <sheetFormatPr defaultRowHeight="14.4" x14ac:dyDescent="0.3"/>
  <cols>
    <col min="2" max="2" width="13.33203125" bestFit="1" customWidth="1"/>
    <col min="4" max="4" width="15.109375" bestFit="1" customWidth="1"/>
    <col min="5" max="7" width="8" bestFit="1" customWidth="1"/>
    <col min="8" max="8" width="9.44140625" bestFit="1" customWidth="1"/>
    <col min="9" max="9" width="10.77734375" bestFit="1" customWidth="1"/>
    <col min="10" max="11" width="12.5546875" bestFit="1" customWidth="1"/>
    <col min="12" max="12" width="26.77734375" bestFit="1" customWidth="1"/>
    <col min="13" max="13" width="20.77734375" bestFit="1" customWidth="1"/>
    <col min="14" max="14" width="19.109375" bestFit="1" customWidth="1"/>
  </cols>
  <sheetData>
    <row r="3" spans="2:14" x14ac:dyDescent="0.3">
      <c r="B3" t="s">
        <v>379</v>
      </c>
      <c r="D3" s="27" t="s">
        <v>382</v>
      </c>
      <c r="G3" s="41" t="s">
        <v>383</v>
      </c>
      <c r="H3" s="41"/>
    </row>
    <row r="4" spans="2:14" x14ac:dyDescent="0.3">
      <c r="B4">
        <v>150</v>
      </c>
      <c r="E4" t="s">
        <v>45</v>
      </c>
      <c r="H4" t="s">
        <v>384</v>
      </c>
      <c r="J4" s="27" t="s">
        <v>381</v>
      </c>
      <c r="K4" t="s">
        <v>385</v>
      </c>
      <c r="M4" s="27" t="s">
        <v>381</v>
      </c>
      <c r="N4" t="s">
        <v>385</v>
      </c>
    </row>
    <row r="5" spans="2:14" x14ac:dyDescent="0.3">
      <c r="D5" s="28" t="s">
        <v>70</v>
      </c>
      <c r="E5">
        <v>30</v>
      </c>
      <c r="G5" s="28" t="s">
        <v>45</v>
      </c>
      <c r="H5" s="29">
        <v>0.2</v>
      </c>
      <c r="J5" s="28" t="s">
        <v>38</v>
      </c>
      <c r="K5" s="30">
        <v>360000</v>
      </c>
      <c r="M5" s="28" t="s">
        <v>392</v>
      </c>
      <c r="N5" s="30">
        <v>240000</v>
      </c>
    </row>
    <row r="6" spans="2:14" x14ac:dyDescent="0.3">
      <c r="D6" s="28" t="s">
        <v>44</v>
      </c>
      <c r="E6">
        <v>30</v>
      </c>
      <c r="G6" s="28" t="s">
        <v>34</v>
      </c>
      <c r="H6" s="29">
        <v>0.8</v>
      </c>
      <c r="J6" s="28" t="s">
        <v>24</v>
      </c>
      <c r="K6" s="30">
        <v>150000</v>
      </c>
      <c r="M6" s="28" t="s">
        <v>37</v>
      </c>
      <c r="N6" s="30">
        <v>360000</v>
      </c>
    </row>
    <row r="7" spans="2:14" x14ac:dyDescent="0.3">
      <c r="B7">
        <f>GETPIVOTDATA("[Measures].[Count of RequestID]",$B$3)</f>
        <v>150</v>
      </c>
      <c r="D7" s="28" t="s">
        <v>56</v>
      </c>
      <c r="E7">
        <v>30</v>
      </c>
      <c r="J7" s="28" t="s">
        <v>49</v>
      </c>
      <c r="K7" s="30">
        <v>13500</v>
      </c>
      <c r="M7" s="28" t="s">
        <v>391</v>
      </c>
      <c r="N7" s="30">
        <v>0</v>
      </c>
    </row>
    <row r="8" spans="2:14" x14ac:dyDescent="0.3">
      <c r="D8" s="28" t="s">
        <v>380</v>
      </c>
      <c r="E8">
        <v>90</v>
      </c>
      <c r="J8" s="28" t="s">
        <v>380</v>
      </c>
      <c r="K8" s="30">
        <v>523500</v>
      </c>
      <c r="M8" s="28" t="s">
        <v>390</v>
      </c>
      <c r="N8" s="30">
        <v>13500</v>
      </c>
    </row>
    <row r="9" spans="2:14" x14ac:dyDescent="0.3">
      <c r="H9" s="33">
        <f>GETPIVOTDATA("[Measures].[Count of SLA_Met]",$G$4,"[Table1].[SLA_Met]","[Table1].[SLA_Met].&amp;[Yes]")</f>
        <v>0.8</v>
      </c>
      <c r="M9" s="28" t="s">
        <v>23</v>
      </c>
      <c r="N9" s="30">
        <v>150000</v>
      </c>
    </row>
    <row r="10" spans="2:14" x14ac:dyDescent="0.3">
      <c r="E10">
        <f>GETPIVOTDATA("[Measures].[Count of Status 2]",$D$3,"[Table3].[IsClosed]","[Table3].[IsClosed].&amp;[No]")</f>
        <v>90</v>
      </c>
      <c r="M10" s="28" t="s">
        <v>380</v>
      </c>
      <c r="N10" s="30">
        <v>763500</v>
      </c>
    </row>
    <row r="12" spans="2:14" x14ac:dyDescent="0.3">
      <c r="K12" s="30">
        <f>GETPIVOTDATA("[Measures].[Sum of Amount_USD]",$J$4)</f>
        <v>523500</v>
      </c>
    </row>
    <row r="13" spans="2:14" x14ac:dyDescent="0.3">
      <c r="D13" s="27" t="s">
        <v>386</v>
      </c>
    </row>
    <row r="14" spans="2:14" x14ac:dyDescent="0.3">
      <c r="E14" t="s">
        <v>47</v>
      </c>
      <c r="F14" t="s">
        <v>22</v>
      </c>
      <c r="G14" t="s">
        <v>36</v>
      </c>
      <c r="H14" t="s">
        <v>58</v>
      </c>
      <c r="K14" s="27" t="s">
        <v>381</v>
      </c>
      <c r="L14" t="s">
        <v>387</v>
      </c>
    </row>
    <row r="15" spans="2:14" x14ac:dyDescent="0.3">
      <c r="D15" s="28" t="s">
        <v>60</v>
      </c>
      <c r="E15" s="29">
        <v>1</v>
      </c>
      <c r="F15" s="29">
        <v>1</v>
      </c>
      <c r="G15" s="29">
        <v>1</v>
      </c>
      <c r="H15" s="29">
        <v>1</v>
      </c>
      <c r="K15" s="28" t="s">
        <v>38</v>
      </c>
      <c r="L15">
        <v>9</v>
      </c>
    </row>
    <row r="16" spans="2:14" x14ac:dyDescent="0.3">
      <c r="D16" s="28" t="s">
        <v>38</v>
      </c>
      <c r="E16" s="29">
        <v>0</v>
      </c>
      <c r="F16" s="29">
        <v>0</v>
      </c>
      <c r="G16" s="29">
        <v>0</v>
      </c>
      <c r="H16" s="29">
        <v>0</v>
      </c>
      <c r="K16" s="28" t="s">
        <v>49</v>
      </c>
      <c r="L16">
        <v>7</v>
      </c>
    </row>
    <row r="17" spans="4:12" x14ac:dyDescent="0.3">
      <c r="D17" s="28" t="s">
        <v>24</v>
      </c>
      <c r="E17" s="29">
        <v>1</v>
      </c>
      <c r="F17" s="29">
        <v>1</v>
      </c>
      <c r="G17" s="29">
        <v>1</v>
      </c>
      <c r="H17" s="29">
        <v>1</v>
      </c>
      <c r="K17" s="28" t="s">
        <v>66</v>
      </c>
      <c r="L17">
        <v>4</v>
      </c>
    </row>
    <row r="18" spans="4:12" x14ac:dyDescent="0.3">
      <c r="D18" s="28" t="s">
        <v>66</v>
      </c>
      <c r="E18" s="29">
        <v>1</v>
      </c>
      <c r="F18" s="29">
        <v>1</v>
      </c>
      <c r="G18" s="29">
        <v>1</v>
      </c>
      <c r="H18" s="29">
        <v>1</v>
      </c>
    </row>
    <row r="19" spans="4:12" x14ac:dyDescent="0.3">
      <c r="D19" s="28" t="s">
        <v>49</v>
      </c>
      <c r="E19" s="29">
        <v>1</v>
      </c>
      <c r="F19" s="29">
        <v>1</v>
      </c>
      <c r="G19" s="29">
        <v>1</v>
      </c>
      <c r="H19" s="29">
        <v>1</v>
      </c>
    </row>
    <row r="22" spans="4:12" x14ac:dyDescent="0.3">
      <c r="F22" s="27" t="s">
        <v>381</v>
      </c>
      <c r="G22" t="s">
        <v>389</v>
      </c>
    </row>
    <row r="23" spans="4:12" x14ac:dyDescent="0.3">
      <c r="F23" s="28" t="s">
        <v>388</v>
      </c>
      <c r="G23">
        <v>60</v>
      </c>
    </row>
    <row r="29" spans="4:12" x14ac:dyDescent="0.3">
      <c r="F29" s="41"/>
      <c r="G29" s="41"/>
      <c r="H29" s="41"/>
    </row>
    <row r="30" spans="4:12" x14ac:dyDescent="0.3">
      <c r="H30" s="33"/>
    </row>
    <row r="31" spans="4:12" x14ac:dyDescent="0.3">
      <c r="H31" s="33"/>
    </row>
  </sheetData>
  <mergeCells count="2">
    <mergeCell ref="G3:H3"/>
    <mergeCell ref="F29:H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0CAD-62F9-4839-B6E2-CC2A23C64777}">
  <dimension ref="A1:F6"/>
  <sheetViews>
    <sheetView workbookViewId="0">
      <selection activeCell="J24" sqref="J24"/>
    </sheetView>
  </sheetViews>
  <sheetFormatPr defaultRowHeight="14.4" x14ac:dyDescent="0.3"/>
  <cols>
    <col min="1" max="1" width="14.44140625" bestFit="1" customWidth="1"/>
    <col min="2" max="2" width="8.88671875" customWidth="1"/>
    <col min="4" max="4" width="14.44140625" bestFit="1" customWidth="1"/>
    <col min="5" max="6" width="20.77734375" bestFit="1" customWidth="1"/>
  </cols>
  <sheetData>
    <row r="1" spans="1:6" x14ac:dyDescent="0.3">
      <c r="A1" t="s">
        <v>393</v>
      </c>
      <c r="B1" t="s">
        <v>394</v>
      </c>
      <c r="E1" t="s">
        <v>393</v>
      </c>
      <c r="F1" t="s">
        <v>394</v>
      </c>
    </row>
    <row r="2" spans="1:6" x14ac:dyDescent="0.3">
      <c r="A2" t="str" cm="1">
        <f t="array" ref="A2:A6">_xlfn.UNIQUE(Clean_Request_Template[Department])</f>
        <v>Operations</v>
      </c>
      <c r="B2" t="s">
        <v>23</v>
      </c>
      <c r="E2" t="s">
        <v>23</v>
      </c>
      <c r="F2" t="s">
        <v>23</v>
      </c>
    </row>
    <row r="3" spans="1:6" x14ac:dyDescent="0.3">
      <c r="A3" t="str">
        <v>Finance</v>
      </c>
      <c r="B3" t="s">
        <v>37</v>
      </c>
      <c r="E3" t="s">
        <v>37</v>
      </c>
      <c r="F3" t="s">
        <v>37</v>
      </c>
    </row>
    <row r="4" spans="1:6" x14ac:dyDescent="0.3">
      <c r="A4" t="str">
        <v>Information Technology</v>
      </c>
      <c r="B4" t="s">
        <v>390</v>
      </c>
      <c r="E4" t="s">
        <v>48</v>
      </c>
      <c r="F4" t="s">
        <v>390</v>
      </c>
    </row>
    <row r="5" spans="1:6" x14ac:dyDescent="0.3">
      <c r="A5" t="str">
        <v>Human Resources</v>
      </c>
      <c r="B5" t="s">
        <v>391</v>
      </c>
      <c r="E5" t="s">
        <v>59</v>
      </c>
      <c r="F5" t="s">
        <v>391</v>
      </c>
    </row>
    <row r="6" spans="1:6" x14ac:dyDescent="0.3">
      <c r="A6" t="str">
        <v>Commercial Operations</v>
      </c>
      <c r="B6" t="s">
        <v>392</v>
      </c>
      <c r="E6" t="s">
        <v>65</v>
      </c>
      <c r="F6" t="s">
        <v>392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79BCF78-26DC-4D66-BDDA-1C31A9A9F3F1}">
  <ds:schemaRefs/>
</ds:datastoreItem>
</file>

<file path=customXml/itemProps2.xml><?xml version="1.0" encoding="utf-8"?>
<ds:datastoreItem xmlns:ds="http://schemas.openxmlformats.org/officeDocument/2006/customXml" ds:itemID="{84AF34A2-192C-4581-9EFA-45559F0C1840}">
  <ds:schemaRefs/>
</ds:datastoreItem>
</file>

<file path=customXml/itemProps3.xml><?xml version="1.0" encoding="utf-8"?>
<ds:datastoreItem xmlns:ds="http://schemas.openxmlformats.org/officeDocument/2006/customXml" ds:itemID="{4217167B-6A24-464A-9F27-B27145C389ED}">
  <ds:schemaRefs/>
</ds:datastoreItem>
</file>

<file path=customXml/itemProps4.xml><?xml version="1.0" encoding="utf-8"?>
<ds:datastoreItem xmlns:ds="http://schemas.openxmlformats.org/officeDocument/2006/customXml" ds:itemID="{78BD33AF-57A0-42CD-87DB-6544946AB09B}">
  <ds:schemaRefs/>
</ds:datastoreItem>
</file>

<file path=customXml/itemProps5.xml><?xml version="1.0" encoding="utf-8"?>
<ds:datastoreItem xmlns:ds="http://schemas.openxmlformats.org/officeDocument/2006/customXml" ds:itemID="{693D128F-32BB-4252-AB41-55DC47EA93AE}">
  <ds:schemaRefs/>
</ds:datastoreItem>
</file>

<file path=customXml/itemProps6.xml><?xml version="1.0" encoding="utf-8"?>
<ds:datastoreItem xmlns:ds="http://schemas.openxmlformats.org/officeDocument/2006/customXml" ds:itemID="{F7640B25-7A6C-4D84-869B-55CB2AF07FA9}">
  <ds:schemaRefs/>
</ds:datastoreItem>
</file>

<file path=customXml/itemProps7.xml><?xml version="1.0" encoding="utf-8"?>
<ds:datastoreItem xmlns:ds="http://schemas.openxmlformats.org/officeDocument/2006/customXml" ds:itemID="{4F9B3E4C-D7D3-45BF-831C-0C64D88E343B}">
  <ds:schemaRefs/>
</ds:datastoreItem>
</file>

<file path=customXml/itemProps8.xml><?xml version="1.0" encoding="utf-8"?>
<ds:datastoreItem xmlns:ds="http://schemas.openxmlformats.org/officeDocument/2006/customXml" ds:itemID="{F25C9771-3987-4AB8-866B-84628F816955}">
  <ds:schemaRefs/>
</ds:datastoreItem>
</file>

<file path=customXml/itemProps9.xml><?xml version="1.0" encoding="utf-8"?>
<ds:datastoreItem xmlns:ds="http://schemas.openxmlformats.org/officeDocument/2006/customXml" ds:itemID="{10842211-CB4C-4D4D-9FE1-065743EE0DD5}">
  <ds:schemaRefs/>
</ds:datastoreItem>
</file>

<file path=customXml/itemProps10.xml><?xml version="1.0" encoding="utf-8"?>
<ds:datastoreItem xmlns:ds="http://schemas.openxmlformats.org/officeDocument/2006/customXml" ds:itemID="{FE2096A8-DB9C-48C4-9F65-536361570808}">
  <ds:schemaRefs/>
</ds:datastoreItem>
</file>

<file path=customXml/itemProps11.xml><?xml version="1.0" encoding="utf-8"?>
<ds:datastoreItem xmlns:ds="http://schemas.openxmlformats.org/officeDocument/2006/customXml" ds:itemID="{4342CC51-1F1B-4BAC-A424-E41734C54D25}">
  <ds:schemaRefs/>
</ds:datastoreItem>
</file>

<file path=customXml/itemProps12.xml><?xml version="1.0" encoding="utf-8"?>
<ds:datastoreItem xmlns:ds="http://schemas.openxmlformats.org/officeDocument/2006/customXml" ds:itemID="{212AFB39-2CD3-427D-9ACE-8EB3944843F8}">
  <ds:schemaRefs/>
</ds:datastoreItem>
</file>

<file path=customXml/itemProps13.xml><?xml version="1.0" encoding="utf-8"?>
<ds:datastoreItem xmlns:ds="http://schemas.openxmlformats.org/officeDocument/2006/customXml" ds:itemID="{EA29E3A9-2320-4554-AA16-C0CD3C3E91A6}">
  <ds:schemaRefs/>
</ds:datastoreItem>
</file>

<file path=customXml/itemProps14.xml><?xml version="1.0" encoding="utf-8"?>
<ds:datastoreItem xmlns:ds="http://schemas.openxmlformats.org/officeDocument/2006/customXml" ds:itemID="{490E3E5D-988E-4954-A64F-B1C7DB7E0F9E}">
  <ds:schemaRefs/>
</ds:datastoreItem>
</file>

<file path=customXml/itemProps15.xml><?xml version="1.0" encoding="utf-8"?>
<ds:datastoreItem xmlns:ds="http://schemas.openxmlformats.org/officeDocument/2006/customXml" ds:itemID="{CD710715-91E1-474F-BD1E-CBF640D43843}">
  <ds:schemaRefs/>
</ds:datastoreItem>
</file>

<file path=customXml/itemProps16.xml><?xml version="1.0" encoding="utf-8"?>
<ds:datastoreItem xmlns:ds="http://schemas.openxmlformats.org/officeDocument/2006/customXml" ds:itemID="{B0931425-CB78-460E-B082-F0A6A808AA0C}">
  <ds:schemaRefs/>
</ds:datastoreItem>
</file>

<file path=customXml/itemProps17.xml><?xml version="1.0" encoding="utf-8"?>
<ds:datastoreItem xmlns:ds="http://schemas.openxmlformats.org/officeDocument/2006/customXml" ds:itemID="{AE43B2E3-6A08-4B45-95F7-73CEA3FC8D1E}">
  <ds:schemaRefs/>
</ds:datastoreItem>
</file>

<file path=customXml/itemProps18.xml><?xml version="1.0" encoding="utf-8"?>
<ds:datastoreItem xmlns:ds="http://schemas.openxmlformats.org/officeDocument/2006/customXml" ds:itemID="{1DAA17CE-B102-4C3F-B30C-6D6161BBFA8F}">
  <ds:schemaRefs/>
</ds:datastoreItem>
</file>

<file path=customXml/itemProps19.xml><?xml version="1.0" encoding="utf-8"?>
<ds:datastoreItem xmlns:ds="http://schemas.openxmlformats.org/officeDocument/2006/customXml" ds:itemID="{E88C05AD-2EAA-45F7-BA70-0B73F1DD528D}">
  <ds:schemaRefs/>
</ds:datastoreItem>
</file>

<file path=customXml/itemProps20.xml><?xml version="1.0" encoding="utf-8"?>
<ds:datastoreItem xmlns:ds="http://schemas.openxmlformats.org/officeDocument/2006/customXml" ds:itemID="{487A6AC2-CE1E-4AAD-BFD2-6373100CCEAC}">
  <ds:schemaRefs/>
</ds:datastoreItem>
</file>

<file path=customXml/itemProps21.xml><?xml version="1.0" encoding="utf-8"?>
<ds:datastoreItem xmlns:ds="http://schemas.openxmlformats.org/officeDocument/2006/customXml" ds:itemID="{AC62206B-F328-4036-9D25-43FEE54B18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Requests_Raw</vt:lpstr>
      <vt:lpstr>Clean_Requests_Template</vt:lpstr>
      <vt:lpstr>KPI &amp; Pivot</vt:lpstr>
      <vt:lpstr>SLA_Targets</vt:lpstr>
      <vt:lpstr>Status_Map</vt:lpstr>
      <vt:lpstr>Calendar</vt:lpstr>
      <vt:lpstr>Vendors</vt:lpstr>
      <vt:lpstr>Staff</vt:lpstr>
      <vt:lpstr>Pivot table</vt:lpstr>
      <vt:lpstr>Standardized 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Ademola Ogunsola</cp:lastModifiedBy>
  <dcterms:created xsi:type="dcterms:W3CDTF">2026-04-16T12:13:34Z</dcterms:created>
  <dcterms:modified xsi:type="dcterms:W3CDTF">2026-04-20T05:37:29Z</dcterms:modified>
</cp:coreProperties>
</file>